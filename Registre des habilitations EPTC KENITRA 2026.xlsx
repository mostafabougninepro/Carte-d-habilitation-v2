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11D8A3B0-0593-462F-BEBA-4522E7C6BDAB}" xr6:coauthVersionLast="47" xr6:coauthVersionMax="47" xr10:uidLastSave="{00000000-0000-0000-0000-000000000000}"/>
  <bookViews>
    <workbookView xWindow="-110" yWindow="-110" windowWidth="19420" windowHeight="10420" tabRatio="581" xr2:uid="{00000000-000D-0000-FFFF-FFFF00000000}"/>
  </bookViews>
  <sheets>
    <sheet name="Conduite" sheetId="3" r:id="rId1"/>
    <sheet name="Formation" sheetId="10" r:id="rId2"/>
    <sheet name="CGPx Conduite" sheetId="11" r:id="rId3"/>
    <sheet name="Listing  VM" sheetId="13" r:id="rId4"/>
    <sheet name="Listing  Psy" sheetId="12" r:id="rId5"/>
    <sheet name="RG_DRH_S1_008" sheetId="7" r:id="rId6"/>
  </sheets>
  <definedNames>
    <definedName name="_xlnm._FilterDatabase" localSheetId="2" hidden="1">'CGPx Conduite'!$B$7:$AB$7</definedName>
    <definedName name="_xlnm._FilterDatabase" localSheetId="0" hidden="1">Conduite!$B$7:$AB$69</definedName>
    <definedName name="_xlnm._FilterDatabase" localSheetId="1" hidden="1">Formation!$B$7:$AC$18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5" i="3" l="1"/>
  <c r="AB98" i="3"/>
  <c r="AB47" i="3" l="1"/>
  <c r="R32" i="11" l="1"/>
  <c r="F160" i="3" l="1"/>
  <c r="H160" i="3" s="1"/>
  <c r="AC160" i="3"/>
  <c r="F159" i="3"/>
  <c r="H159" i="3" s="1"/>
  <c r="AC159" i="3"/>
  <c r="F158" i="3"/>
  <c r="H158" i="3" s="1"/>
  <c r="AC158" i="3"/>
  <c r="F149" i="3"/>
  <c r="H149" i="3" s="1"/>
  <c r="R151" i="3"/>
  <c r="F150" i="3"/>
  <c r="H150" i="3" s="1"/>
  <c r="F151" i="3"/>
  <c r="H151" i="3" s="1"/>
  <c r="F152" i="3"/>
  <c r="H152" i="3" s="1"/>
  <c r="F153" i="3"/>
  <c r="H153" i="3" s="1"/>
  <c r="F154" i="3"/>
  <c r="H154" i="3" s="1"/>
  <c r="F155" i="3"/>
  <c r="H155" i="3" s="1"/>
  <c r="F157" i="3"/>
  <c r="H157" i="3" s="1"/>
  <c r="AB149" i="3"/>
  <c r="AA149" i="3" s="1"/>
  <c r="AB150" i="3"/>
  <c r="AA150" i="3" s="1"/>
  <c r="AB151" i="3"/>
  <c r="AA151" i="3" s="1"/>
  <c r="AC151" i="3" s="1"/>
  <c r="AB152" i="3"/>
  <c r="AA152" i="3" s="1"/>
  <c r="AC152" i="3" s="1"/>
  <c r="AB153" i="3"/>
  <c r="AA153" i="3" s="1"/>
  <c r="AC153" i="3" s="1"/>
  <c r="AB154" i="3"/>
  <c r="AA154" i="3" s="1"/>
  <c r="AC154" i="3" s="1"/>
  <c r="AB155" i="3"/>
  <c r="AA155" i="3" s="1"/>
  <c r="AC155" i="3" s="1"/>
  <c r="AB157" i="3"/>
  <c r="AA157" i="3" s="1"/>
  <c r="AC157" i="3" s="1"/>
  <c r="W149" i="3"/>
  <c r="W150" i="3"/>
  <c r="W151" i="3"/>
  <c r="W152" i="3"/>
  <c r="W153" i="3"/>
  <c r="W154" i="3"/>
  <c r="R149" i="3"/>
  <c r="R150" i="3"/>
  <c r="R152" i="3"/>
  <c r="R153" i="3"/>
  <c r="R154" i="3"/>
  <c r="L149" i="3"/>
  <c r="L150" i="3"/>
  <c r="L151" i="3"/>
  <c r="L152" i="3"/>
  <c r="L153" i="3"/>
  <c r="L154" i="3"/>
  <c r="L155" i="3"/>
  <c r="L157" i="3"/>
  <c r="K149" i="3"/>
  <c r="K150" i="3"/>
  <c r="K151" i="3"/>
  <c r="K152" i="3"/>
  <c r="K153" i="3"/>
  <c r="K154" i="3"/>
  <c r="K155" i="3"/>
  <c r="K157" i="3"/>
  <c r="J149" i="3"/>
  <c r="J150" i="3"/>
  <c r="J151" i="3"/>
  <c r="J152" i="3"/>
  <c r="J153" i="3"/>
  <c r="J154" i="3"/>
  <c r="J155" i="3"/>
  <c r="J157" i="3"/>
  <c r="AB56" i="3"/>
  <c r="AC18" i="10"/>
  <c r="AB18" i="10" s="1"/>
  <c r="X18" i="10"/>
  <c r="S18" i="10"/>
  <c r="L18" i="10"/>
  <c r="K18" i="10"/>
  <c r="J18" i="10"/>
  <c r="L148" i="3"/>
  <c r="S148" i="3" s="1"/>
  <c r="T148" i="3" s="1"/>
  <c r="K148" i="3"/>
  <c r="J148" i="3"/>
  <c r="W34" i="11"/>
  <c r="R34" i="11"/>
  <c r="L34" i="11"/>
  <c r="K34" i="11"/>
  <c r="J34" i="11"/>
  <c r="W33" i="11"/>
  <c r="R33" i="11"/>
  <c r="L33" i="11"/>
  <c r="K33" i="11"/>
  <c r="J33" i="11"/>
  <c r="AB147" i="3"/>
  <c r="AA147" i="3" s="1"/>
  <c r="AC147" i="3" s="1"/>
  <c r="AB148" i="3"/>
  <c r="AA148" i="3" s="1"/>
  <c r="AC148" i="3" s="1"/>
  <c r="W147" i="3"/>
  <c r="W148" i="3"/>
  <c r="R147" i="3"/>
  <c r="R148" i="3"/>
  <c r="AC17" i="10"/>
  <c r="AB17" i="10" s="1"/>
  <c r="X17" i="10"/>
  <c r="S17" i="10"/>
  <c r="L147" i="3"/>
  <c r="K147" i="3"/>
  <c r="J147" i="3"/>
  <c r="L28" i="11"/>
  <c r="X28" i="11" s="1"/>
  <c r="Y28" i="11" s="1"/>
  <c r="K28" i="11"/>
  <c r="J28" i="11"/>
  <c r="W28" i="11"/>
  <c r="S28" i="11"/>
  <c r="T28" i="11" s="1"/>
  <c r="R28" i="11"/>
  <c r="L17" i="10"/>
  <c r="K17" i="10"/>
  <c r="J17" i="10"/>
  <c r="AB144" i="3"/>
  <c r="AA144" i="3" s="1"/>
  <c r="AC144" i="3" s="1"/>
  <c r="AB145" i="3"/>
  <c r="AA145" i="3" s="1"/>
  <c r="AC145" i="3" s="1"/>
  <c r="AB146" i="3"/>
  <c r="AA146" i="3" s="1"/>
  <c r="AC146" i="3" s="1"/>
  <c r="W144" i="3"/>
  <c r="W145" i="3"/>
  <c r="W146" i="3"/>
  <c r="R144" i="3"/>
  <c r="R145" i="3"/>
  <c r="R146" i="3"/>
  <c r="L144" i="3"/>
  <c r="L145" i="3"/>
  <c r="L146" i="3"/>
  <c r="K144" i="3"/>
  <c r="K145" i="3"/>
  <c r="K146" i="3"/>
  <c r="J144" i="3"/>
  <c r="J145" i="3"/>
  <c r="J146" i="3"/>
  <c r="W143" i="3"/>
  <c r="X148" i="3" l="1"/>
  <c r="Y148" i="3" s="1"/>
  <c r="G148" i="3" s="1"/>
  <c r="F148" i="3" s="1"/>
  <c r="H148" i="3" s="1"/>
  <c r="X154" i="3"/>
  <c r="Y154" i="3" s="1"/>
  <c r="S154" i="3"/>
  <c r="T154" i="3" s="1"/>
  <c r="X153" i="3"/>
  <c r="Y153" i="3" s="1"/>
  <c r="S153" i="3"/>
  <c r="T153" i="3" s="1"/>
  <c r="X152" i="3"/>
  <c r="Y152" i="3" s="1"/>
  <c r="S152" i="3"/>
  <c r="T152" i="3" s="1"/>
  <c r="X151" i="3"/>
  <c r="Y151" i="3" s="1"/>
  <c r="S151" i="3"/>
  <c r="T151" i="3" s="1"/>
  <c r="X150" i="3"/>
  <c r="Y150" i="3" s="1"/>
  <c r="S150" i="3"/>
  <c r="T150" i="3" s="1"/>
  <c r="X149" i="3"/>
  <c r="Y149" i="3" s="1"/>
  <c r="S149" i="3"/>
  <c r="T149" i="3" s="1"/>
  <c r="Y18" i="10"/>
  <c r="Z18" i="10" s="1"/>
  <c r="T18" i="10"/>
  <c r="U18" i="10" s="1"/>
  <c r="Y17" i="10"/>
  <c r="Z17" i="10" s="1"/>
  <c r="T17" i="10"/>
  <c r="U17" i="10" s="1"/>
  <c r="X34" i="11"/>
  <c r="Y34" i="11" s="1"/>
  <c r="S34" i="11"/>
  <c r="T34" i="11" s="1"/>
  <c r="G28" i="11"/>
  <c r="F28" i="11" s="1"/>
  <c r="X33" i="11"/>
  <c r="Y33" i="11" s="1"/>
  <c r="S33" i="11"/>
  <c r="T33" i="11" s="1"/>
  <c r="X147" i="3"/>
  <c r="Y147" i="3" s="1"/>
  <c r="S147" i="3"/>
  <c r="T147" i="3" s="1"/>
  <c r="S146" i="3"/>
  <c r="T146" i="3" s="1"/>
  <c r="X146" i="3"/>
  <c r="Y146" i="3" s="1"/>
  <c r="S145" i="3"/>
  <c r="T145" i="3" s="1"/>
  <c r="X145" i="3"/>
  <c r="Y145" i="3" s="1"/>
  <c r="S144" i="3"/>
  <c r="T144" i="3" s="1"/>
  <c r="X144" i="3"/>
  <c r="Y144" i="3" s="1"/>
  <c r="AB9" i="11"/>
  <c r="AB10" i="11"/>
  <c r="AB26" i="11"/>
  <c r="AB29" i="11"/>
  <c r="AB11" i="11"/>
  <c r="AB12" i="11"/>
  <c r="AB27" i="11"/>
  <c r="AB13" i="11"/>
  <c r="AB30" i="11"/>
  <c r="AB14" i="11"/>
  <c r="AB31" i="11"/>
  <c r="AB19" i="11"/>
  <c r="AB20" i="11"/>
  <c r="AB21" i="11"/>
  <c r="AB22" i="11"/>
  <c r="AB23" i="11"/>
  <c r="AB24" i="11"/>
  <c r="AB15" i="11"/>
  <c r="AB16" i="11"/>
  <c r="AB25" i="11"/>
  <c r="AB17" i="11"/>
  <c r="AB32" i="11"/>
  <c r="AB18" i="11"/>
  <c r="AB8" i="11"/>
  <c r="W8" i="11"/>
  <c r="W9" i="11"/>
  <c r="W10" i="11"/>
  <c r="W26" i="11"/>
  <c r="W29" i="11"/>
  <c r="W11" i="11"/>
  <c r="W12" i="11"/>
  <c r="W27" i="11"/>
  <c r="W13" i="11"/>
  <c r="W30" i="11"/>
  <c r="W14" i="11"/>
  <c r="W31" i="11"/>
  <c r="W19" i="11"/>
  <c r="W20" i="11"/>
  <c r="W21" i="11"/>
  <c r="W22" i="11"/>
  <c r="W23" i="11"/>
  <c r="W24" i="11"/>
  <c r="W15" i="11"/>
  <c r="W16" i="11"/>
  <c r="W25" i="11"/>
  <c r="W17" i="11"/>
  <c r="W32" i="11"/>
  <c r="W18" i="11"/>
  <c r="R8" i="11"/>
  <c r="R9" i="11"/>
  <c r="R10" i="11"/>
  <c r="R26" i="11"/>
  <c r="R29" i="11"/>
  <c r="R11" i="11"/>
  <c r="R12" i="11"/>
  <c r="R27" i="11"/>
  <c r="R13" i="11"/>
  <c r="R30" i="11"/>
  <c r="R14" i="11"/>
  <c r="R31" i="11"/>
  <c r="R19" i="11"/>
  <c r="R20" i="11"/>
  <c r="R21" i="11"/>
  <c r="R22" i="11"/>
  <c r="R23" i="11"/>
  <c r="R24" i="11"/>
  <c r="R15" i="11"/>
  <c r="R16" i="11"/>
  <c r="R25" i="11"/>
  <c r="R17" i="11"/>
  <c r="R18" i="11"/>
  <c r="J8" i="11"/>
  <c r="K8" i="11"/>
  <c r="L8" i="11"/>
  <c r="S8" i="11" s="1"/>
  <c r="T8" i="11" s="1"/>
  <c r="J9" i="11"/>
  <c r="K9" i="11"/>
  <c r="L9" i="11"/>
  <c r="S9" i="11" s="1"/>
  <c r="T9" i="11" s="1"/>
  <c r="J10" i="11"/>
  <c r="K10" i="11"/>
  <c r="L10" i="11"/>
  <c r="X10" i="11" s="1"/>
  <c r="Y10" i="11" s="1"/>
  <c r="J26" i="11"/>
  <c r="K26" i="11"/>
  <c r="L26" i="11"/>
  <c r="X26" i="11" s="1"/>
  <c r="Y26" i="11" s="1"/>
  <c r="J29" i="11"/>
  <c r="K29" i="11"/>
  <c r="L29" i="11"/>
  <c r="X29" i="11" s="1"/>
  <c r="Y29" i="11" s="1"/>
  <c r="J11" i="11"/>
  <c r="K11" i="11"/>
  <c r="L11" i="11"/>
  <c r="S11" i="11" s="1"/>
  <c r="T11" i="11" s="1"/>
  <c r="J12" i="11"/>
  <c r="K12" i="11"/>
  <c r="L12" i="11"/>
  <c r="S12" i="11" s="1"/>
  <c r="T12" i="11" s="1"/>
  <c r="J27" i="11"/>
  <c r="K27" i="11"/>
  <c r="L27" i="11"/>
  <c r="S27" i="11" s="1"/>
  <c r="T27" i="11" s="1"/>
  <c r="J13" i="11"/>
  <c r="K13" i="11"/>
  <c r="L13" i="11"/>
  <c r="S13" i="11" s="1"/>
  <c r="T13" i="11" s="1"/>
  <c r="J30" i="11"/>
  <c r="K30" i="11"/>
  <c r="L30" i="11"/>
  <c r="S30" i="11" s="1"/>
  <c r="T30" i="11" s="1"/>
  <c r="J14" i="11"/>
  <c r="K14" i="11"/>
  <c r="L14" i="11"/>
  <c r="S14" i="11" s="1"/>
  <c r="T14" i="11" s="1"/>
  <c r="J31" i="11"/>
  <c r="K31" i="11"/>
  <c r="L31" i="11"/>
  <c r="S31" i="11" s="1"/>
  <c r="T31" i="11" s="1"/>
  <c r="J19" i="11"/>
  <c r="K19" i="11"/>
  <c r="L19" i="11"/>
  <c r="S19" i="11" s="1"/>
  <c r="T19" i="11" s="1"/>
  <c r="J20" i="11"/>
  <c r="K20" i="11"/>
  <c r="L20" i="11"/>
  <c r="S20" i="11" s="1"/>
  <c r="T20" i="11" s="1"/>
  <c r="J21" i="11"/>
  <c r="K21" i="11"/>
  <c r="L21" i="11"/>
  <c r="X21" i="11" s="1"/>
  <c r="Y21" i="11" s="1"/>
  <c r="J22" i="11"/>
  <c r="K22" i="11"/>
  <c r="L22" i="11"/>
  <c r="S22" i="11" s="1"/>
  <c r="T22" i="11" s="1"/>
  <c r="J23" i="11"/>
  <c r="K23" i="11"/>
  <c r="L23" i="11"/>
  <c r="S23" i="11" s="1"/>
  <c r="T23" i="11" s="1"/>
  <c r="J24" i="11"/>
  <c r="K24" i="11"/>
  <c r="L24" i="11"/>
  <c r="X24" i="11" s="1"/>
  <c r="Y24" i="11" s="1"/>
  <c r="J15" i="11"/>
  <c r="K15" i="11"/>
  <c r="L15" i="11"/>
  <c r="S15" i="11" s="1"/>
  <c r="T15" i="11" s="1"/>
  <c r="J16" i="11"/>
  <c r="K16" i="11"/>
  <c r="L16" i="11"/>
  <c r="X16" i="11" s="1"/>
  <c r="Y16" i="11" s="1"/>
  <c r="J25" i="11"/>
  <c r="K25" i="11"/>
  <c r="L25" i="11"/>
  <c r="S25" i="11" s="1"/>
  <c r="T25" i="11" s="1"/>
  <c r="J17" i="11"/>
  <c r="K17" i="11"/>
  <c r="L17" i="11"/>
  <c r="S17" i="11" s="1"/>
  <c r="T17" i="11" s="1"/>
  <c r="J32" i="11"/>
  <c r="K32" i="11"/>
  <c r="L32" i="11"/>
  <c r="J18" i="11"/>
  <c r="K18" i="11"/>
  <c r="L18" i="11"/>
  <c r="S18" i="11" s="1"/>
  <c r="T18" i="11" s="1"/>
  <c r="AC8" i="10"/>
  <c r="AB8" i="10" s="1"/>
  <c r="AC9" i="10"/>
  <c r="AB9" i="10" s="1"/>
  <c r="AC10" i="10"/>
  <c r="AB10" i="10" s="1"/>
  <c r="AC11" i="10"/>
  <c r="AB11" i="10" s="1"/>
  <c r="AC12" i="10"/>
  <c r="AB12" i="10" s="1"/>
  <c r="AC13" i="10"/>
  <c r="AB13" i="10" s="1"/>
  <c r="AC14" i="10"/>
  <c r="AB14" i="10" s="1"/>
  <c r="AC15" i="10"/>
  <c r="AB15" i="10" s="1"/>
  <c r="AC16" i="10"/>
  <c r="AB16" i="10" s="1"/>
  <c r="X8" i="10"/>
  <c r="X9" i="10"/>
  <c r="X10" i="10"/>
  <c r="X11" i="10"/>
  <c r="X12" i="10"/>
  <c r="X13" i="10"/>
  <c r="X14" i="10"/>
  <c r="X15" i="10"/>
  <c r="X16" i="10"/>
  <c r="S8" i="10"/>
  <c r="S9" i="10"/>
  <c r="S10" i="10"/>
  <c r="S11" i="10"/>
  <c r="S12" i="10"/>
  <c r="S13" i="10"/>
  <c r="S14" i="10"/>
  <c r="S15" i="10"/>
  <c r="S16" i="10"/>
  <c r="J8" i="10"/>
  <c r="K8" i="10"/>
  <c r="L8" i="10"/>
  <c r="T8" i="10" s="1"/>
  <c r="U8" i="10" s="1"/>
  <c r="J9" i="10"/>
  <c r="K9" i="10"/>
  <c r="L9" i="10"/>
  <c r="T9" i="10" s="1"/>
  <c r="U9" i="10" s="1"/>
  <c r="J10" i="10"/>
  <c r="K10" i="10"/>
  <c r="L10" i="10"/>
  <c r="T10" i="10" s="1"/>
  <c r="U10" i="10" s="1"/>
  <c r="J11" i="10"/>
  <c r="K11" i="10"/>
  <c r="L11" i="10"/>
  <c r="T11" i="10" s="1"/>
  <c r="U11" i="10" s="1"/>
  <c r="J12" i="10"/>
  <c r="K12" i="10"/>
  <c r="L12" i="10"/>
  <c r="T12" i="10" s="1"/>
  <c r="U12" i="10" s="1"/>
  <c r="J13" i="10"/>
  <c r="K13" i="10"/>
  <c r="L13" i="10"/>
  <c r="T13" i="10" s="1"/>
  <c r="U13" i="10" s="1"/>
  <c r="J14" i="10"/>
  <c r="K14" i="10"/>
  <c r="L14" i="10"/>
  <c r="T14" i="10" s="1"/>
  <c r="U14" i="10" s="1"/>
  <c r="J15" i="10"/>
  <c r="K15" i="10"/>
  <c r="L15" i="10"/>
  <c r="T15" i="10" s="1"/>
  <c r="U15" i="10" s="1"/>
  <c r="J16" i="10"/>
  <c r="K16" i="10"/>
  <c r="L16" i="10"/>
  <c r="T16" i="10" s="1"/>
  <c r="U16" i="10" s="1"/>
  <c r="G17" i="10" l="1"/>
  <c r="H17" i="10" s="1"/>
  <c r="G18" i="10"/>
  <c r="F18" i="10" s="1"/>
  <c r="G34" i="11"/>
  <c r="H34" i="11" s="1"/>
  <c r="G33" i="11"/>
  <c r="H33" i="11" s="1"/>
  <c r="H28" i="11"/>
  <c r="G147" i="3"/>
  <c r="F147" i="3" s="1"/>
  <c r="H147" i="3" s="1"/>
  <c r="S32" i="11"/>
  <c r="T32" i="11" s="1"/>
  <c r="H18" i="10"/>
  <c r="F17" i="10"/>
  <c r="G144" i="3"/>
  <c r="F144" i="3" s="1"/>
  <c r="G145" i="3"/>
  <c r="F145" i="3" s="1"/>
  <c r="G146" i="3"/>
  <c r="F146" i="3" s="1"/>
  <c r="X20" i="11"/>
  <c r="Y20" i="11" s="1"/>
  <c r="X23" i="11"/>
  <c r="Y23" i="11" s="1"/>
  <c r="G23" i="11" s="1"/>
  <c r="X19" i="11"/>
  <c r="Y19" i="11" s="1"/>
  <c r="X8" i="11"/>
  <c r="Y8" i="11" s="1"/>
  <c r="G8" i="11" s="1"/>
  <c r="S16" i="11"/>
  <c r="T16" i="11" s="1"/>
  <c r="G16" i="11" s="1"/>
  <c r="X9" i="11"/>
  <c r="Y9" i="11" s="1"/>
  <c r="G9" i="11" s="1"/>
  <c r="X11" i="11"/>
  <c r="Y11" i="11" s="1"/>
  <c r="G11" i="11" s="1"/>
  <c r="S24" i="11"/>
  <c r="T24" i="11" s="1"/>
  <c r="G24" i="11" s="1"/>
  <c r="S26" i="11"/>
  <c r="T26" i="11" s="1"/>
  <c r="G26" i="11" s="1"/>
  <c r="S10" i="11"/>
  <c r="T10" i="11" s="1"/>
  <c r="G10" i="11" s="1"/>
  <c r="X22" i="11"/>
  <c r="Y22" i="11" s="1"/>
  <c r="G22" i="11" s="1"/>
  <c r="X31" i="11"/>
  <c r="Y31" i="11" s="1"/>
  <c r="G31" i="11" s="1"/>
  <c r="X14" i="11"/>
  <c r="Y14" i="11" s="1"/>
  <c r="G14" i="11" s="1"/>
  <c r="S21" i="11"/>
  <c r="T21" i="11" s="1"/>
  <c r="G21" i="11" s="1"/>
  <c r="X18" i="11"/>
  <c r="Y18" i="11" s="1"/>
  <c r="G18" i="11" s="1"/>
  <c r="X30" i="11"/>
  <c r="Y30" i="11" s="1"/>
  <c r="G30" i="11" s="1"/>
  <c r="X32" i="11"/>
  <c r="Y32" i="11" s="1"/>
  <c r="X13" i="11"/>
  <c r="Y13" i="11" s="1"/>
  <c r="G13" i="11" s="1"/>
  <c r="X17" i="11"/>
  <c r="Y17" i="11" s="1"/>
  <c r="G17" i="11" s="1"/>
  <c r="X27" i="11"/>
  <c r="Y27" i="11" s="1"/>
  <c r="G27" i="11" s="1"/>
  <c r="X25" i="11"/>
  <c r="Y25" i="11" s="1"/>
  <c r="G25" i="11" s="1"/>
  <c r="X12" i="11"/>
  <c r="Y12" i="11" s="1"/>
  <c r="G12" i="11" s="1"/>
  <c r="S29" i="11"/>
  <c r="T29" i="11" s="1"/>
  <c r="G29" i="11" s="1"/>
  <c r="X15" i="11"/>
  <c r="Y15" i="11" s="1"/>
  <c r="G15" i="11" s="1"/>
  <c r="G20" i="11"/>
  <c r="G19" i="11"/>
  <c r="Y14" i="10"/>
  <c r="Z14" i="10" s="1"/>
  <c r="G14" i="10" s="1"/>
  <c r="H14" i="10" s="1"/>
  <c r="Y15" i="10"/>
  <c r="Z15" i="10" s="1"/>
  <c r="G15" i="10" s="1"/>
  <c r="Y16" i="10"/>
  <c r="Z16" i="10" s="1"/>
  <c r="G16" i="10" s="1"/>
  <c r="Y13" i="10"/>
  <c r="Z13" i="10" s="1"/>
  <c r="G13" i="10" s="1"/>
  <c r="Y11" i="10"/>
  <c r="Z11" i="10" s="1"/>
  <c r="G11" i="10" s="1"/>
  <c r="Y10" i="10"/>
  <c r="Z10" i="10" s="1"/>
  <c r="G10" i="10" s="1"/>
  <c r="Y9" i="10"/>
  <c r="Z9" i="10" s="1"/>
  <c r="G9" i="10" s="1"/>
  <c r="Y12" i="10"/>
  <c r="Z12" i="10" s="1"/>
  <c r="G12" i="10" s="1"/>
  <c r="Y8" i="10"/>
  <c r="Z8" i="10" s="1"/>
  <c r="G8" i="10" s="1"/>
  <c r="F8" i="10" s="1"/>
  <c r="AB125" i="3"/>
  <c r="AA125" i="3" s="1"/>
  <c r="AC125" i="3" s="1"/>
  <c r="AB70" i="3"/>
  <c r="AA70" i="3" s="1"/>
  <c r="AC70" i="3" s="1"/>
  <c r="AB71" i="3"/>
  <c r="AA71" i="3" s="1"/>
  <c r="AC71" i="3" s="1"/>
  <c r="AB72" i="3"/>
  <c r="AA72" i="3" s="1"/>
  <c r="AC72" i="3" s="1"/>
  <c r="AB73" i="3"/>
  <c r="AA73" i="3" s="1"/>
  <c r="AC73" i="3" s="1"/>
  <c r="AB74" i="3"/>
  <c r="AA74" i="3" s="1"/>
  <c r="AC74" i="3" s="1"/>
  <c r="AB75" i="3"/>
  <c r="AA75" i="3" s="1"/>
  <c r="AC75" i="3" s="1"/>
  <c r="AB76" i="3"/>
  <c r="AA76" i="3" s="1"/>
  <c r="AC76" i="3" s="1"/>
  <c r="AB77" i="3"/>
  <c r="AA77" i="3" s="1"/>
  <c r="AC77" i="3" s="1"/>
  <c r="AB78" i="3"/>
  <c r="AA78" i="3" s="1"/>
  <c r="AC78" i="3" s="1"/>
  <c r="AB79" i="3"/>
  <c r="AA79" i="3" s="1"/>
  <c r="AC79" i="3" s="1"/>
  <c r="AB80" i="3"/>
  <c r="AA80" i="3" s="1"/>
  <c r="AC80" i="3" s="1"/>
  <c r="AB81" i="3"/>
  <c r="AA81" i="3" s="1"/>
  <c r="AC81" i="3" s="1"/>
  <c r="AB82" i="3"/>
  <c r="AA82" i="3" s="1"/>
  <c r="AC82" i="3" s="1"/>
  <c r="AB83" i="3"/>
  <c r="AA83" i="3" s="1"/>
  <c r="AC83" i="3" s="1"/>
  <c r="AB84" i="3"/>
  <c r="AA84" i="3" s="1"/>
  <c r="AC84" i="3" s="1"/>
  <c r="AB85" i="3"/>
  <c r="AA85" i="3" s="1"/>
  <c r="AC85" i="3" s="1"/>
  <c r="AB86" i="3"/>
  <c r="AA86" i="3" s="1"/>
  <c r="AC86" i="3" s="1"/>
  <c r="AB87" i="3"/>
  <c r="AA87" i="3" s="1"/>
  <c r="AC87" i="3" s="1"/>
  <c r="AB88" i="3"/>
  <c r="AA88" i="3" s="1"/>
  <c r="AC88" i="3" s="1"/>
  <c r="AB89" i="3"/>
  <c r="AA89" i="3" s="1"/>
  <c r="AC89" i="3" s="1"/>
  <c r="AB90" i="3"/>
  <c r="AB91" i="3"/>
  <c r="AA91" i="3" s="1"/>
  <c r="AC91" i="3" s="1"/>
  <c r="AB92" i="3"/>
  <c r="AA92" i="3" s="1"/>
  <c r="AC92" i="3" s="1"/>
  <c r="AB93" i="3"/>
  <c r="AA93" i="3" s="1"/>
  <c r="AC93" i="3" s="1"/>
  <c r="AB94" i="3"/>
  <c r="AB95" i="3"/>
  <c r="AA95" i="3" s="1"/>
  <c r="AC95" i="3" s="1"/>
  <c r="AB96" i="3"/>
  <c r="AA96" i="3" s="1"/>
  <c r="AC96" i="3" s="1"/>
  <c r="AB97" i="3"/>
  <c r="AA97" i="3" s="1"/>
  <c r="AC97" i="3" s="1"/>
  <c r="AA98" i="3"/>
  <c r="AC98" i="3" s="1"/>
  <c r="AB99" i="3"/>
  <c r="AA99" i="3" s="1"/>
  <c r="AC99" i="3" s="1"/>
  <c r="AB100" i="3"/>
  <c r="AA100" i="3" s="1"/>
  <c r="AC100" i="3" s="1"/>
  <c r="AB101" i="3"/>
  <c r="AA101" i="3" s="1"/>
  <c r="AC101" i="3" s="1"/>
  <c r="AB102" i="3"/>
  <c r="AA102" i="3" s="1"/>
  <c r="AC102" i="3" s="1"/>
  <c r="AB103" i="3"/>
  <c r="AA103" i="3" s="1"/>
  <c r="AC103" i="3" s="1"/>
  <c r="AB104" i="3"/>
  <c r="AA104" i="3" s="1"/>
  <c r="AC104" i="3" s="1"/>
  <c r="AB105" i="3"/>
  <c r="AA105" i="3" s="1"/>
  <c r="AC105" i="3" s="1"/>
  <c r="AB106" i="3"/>
  <c r="AA106" i="3" s="1"/>
  <c r="AC106" i="3" s="1"/>
  <c r="AB107" i="3"/>
  <c r="AA107" i="3" s="1"/>
  <c r="AC107" i="3" s="1"/>
  <c r="AB108" i="3"/>
  <c r="AA108" i="3" s="1"/>
  <c r="AC108" i="3" s="1"/>
  <c r="AB109" i="3"/>
  <c r="AA109" i="3" s="1"/>
  <c r="AC109" i="3" s="1"/>
  <c r="AB110" i="3"/>
  <c r="AA110" i="3" s="1"/>
  <c r="AC110" i="3" s="1"/>
  <c r="AB111" i="3"/>
  <c r="AA111" i="3" s="1"/>
  <c r="AC111" i="3" s="1"/>
  <c r="AB112" i="3"/>
  <c r="AA112" i="3" s="1"/>
  <c r="AC112" i="3" s="1"/>
  <c r="AB113" i="3"/>
  <c r="AA113" i="3" s="1"/>
  <c r="AC113" i="3" s="1"/>
  <c r="AB114" i="3"/>
  <c r="AA114" i="3" s="1"/>
  <c r="AC114" i="3" s="1"/>
  <c r="AB115" i="3"/>
  <c r="AA115" i="3" s="1"/>
  <c r="AC115" i="3" s="1"/>
  <c r="AB116" i="3"/>
  <c r="AA116" i="3" s="1"/>
  <c r="AC116" i="3" s="1"/>
  <c r="AB117" i="3"/>
  <c r="AA117" i="3" s="1"/>
  <c r="AC117" i="3" s="1"/>
  <c r="AB118" i="3"/>
  <c r="AA118" i="3" s="1"/>
  <c r="AC118" i="3" s="1"/>
  <c r="AB119" i="3"/>
  <c r="AA119" i="3" s="1"/>
  <c r="AC119" i="3" s="1"/>
  <c r="AB120" i="3"/>
  <c r="AA120" i="3" s="1"/>
  <c r="AC120" i="3" s="1"/>
  <c r="AB121" i="3"/>
  <c r="AA121" i="3" s="1"/>
  <c r="AC121" i="3" s="1"/>
  <c r="AB122" i="3"/>
  <c r="AA122" i="3" s="1"/>
  <c r="AC122" i="3" s="1"/>
  <c r="AB123" i="3"/>
  <c r="AA123" i="3" s="1"/>
  <c r="AC123" i="3" s="1"/>
  <c r="AB124" i="3"/>
  <c r="AA124" i="3" s="1"/>
  <c r="AC124" i="3" s="1"/>
  <c r="AB126" i="3"/>
  <c r="AA126" i="3" s="1"/>
  <c r="AC126" i="3" s="1"/>
  <c r="AB127" i="3"/>
  <c r="AA127" i="3" s="1"/>
  <c r="AC127" i="3" s="1"/>
  <c r="AB128" i="3"/>
  <c r="AA128" i="3" s="1"/>
  <c r="AC128" i="3" s="1"/>
  <c r="AB129" i="3"/>
  <c r="AA129" i="3" s="1"/>
  <c r="AC129" i="3" s="1"/>
  <c r="AB130" i="3"/>
  <c r="AA130" i="3" s="1"/>
  <c r="AC130" i="3" s="1"/>
  <c r="AB131" i="3"/>
  <c r="AA131" i="3" s="1"/>
  <c r="AC131" i="3" s="1"/>
  <c r="AB132" i="3"/>
  <c r="AA132" i="3" s="1"/>
  <c r="AC132" i="3" s="1"/>
  <c r="AB133" i="3"/>
  <c r="AA133" i="3" s="1"/>
  <c r="AC133" i="3" s="1"/>
  <c r="AB134" i="3"/>
  <c r="AA134" i="3" s="1"/>
  <c r="AC134" i="3" s="1"/>
  <c r="AB135" i="3"/>
  <c r="AA135" i="3" s="1"/>
  <c r="AC135" i="3" s="1"/>
  <c r="AB136" i="3"/>
  <c r="AA136" i="3" s="1"/>
  <c r="AC136" i="3" s="1"/>
  <c r="AB137" i="3"/>
  <c r="AA137" i="3" s="1"/>
  <c r="AC137" i="3" s="1"/>
  <c r="AB138" i="3"/>
  <c r="AA138" i="3" s="1"/>
  <c r="AC138" i="3" s="1"/>
  <c r="AB139" i="3"/>
  <c r="AA139" i="3" s="1"/>
  <c r="AC139" i="3" s="1"/>
  <c r="AB140" i="3"/>
  <c r="AA140" i="3" s="1"/>
  <c r="AC140" i="3" s="1"/>
  <c r="AB141" i="3"/>
  <c r="AA141" i="3" s="1"/>
  <c r="AC141" i="3" s="1"/>
  <c r="AB142" i="3"/>
  <c r="AA142" i="3" s="1"/>
  <c r="AC142" i="3" s="1"/>
  <c r="AB143" i="3"/>
  <c r="AA143" i="3" s="1"/>
  <c r="AC143" i="3" s="1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L70" i="3"/>
  <c r="L71" i="3"/>
  <c r="X71" i="3" s="1"/>
  <c r="Y71" i="3" s="1"/>
  <c r="L72" i="3"/>
  <c r="X72" i="3" s="1"/>
  <c r="Y72" i="3" s="1"/>
  <c r="L73" i="3"/>
  <c r="L74" i="3"/>
  <c r="X74" i="3" s="1"/>
  <c r="Y74" i="3" s="1"/>
  <c r="L75" i="3"/>
  <c r="X75" i="3" s="1"/>
  <c r="Y75" i="3" s="1"/>
  <c r="L76" i="3"/>
  <c r="X76" i="3" s="1"/>
  <c r="Y76" i="3" s="1"/>
  <c r="L77" i="3"/>
  <c r="X77" i="3" s="1"/>
  <c r="Y77" i="3" s="1"/>
  <c r="L78" i="3"/>
  <c r="X78" i="3" s="1"/>
  <c r="Y78" i="3" s="1"/>
  <c r="L79" i="3"/>
  <c r="S79" i="3" s="1"/>
  <c r="T79" i="3" s="1"/>
  <c r="L80" i="3"/>
  <c r="S80" i="3" s="1"/>
  <c r="T80" i="3" s="1"/>
  <c r="L81" i="3"/>
  <c r="L82" i="3"/>
  <c r="L83" i="3"/>
  <c r="L84" i="3"/>
  <c r="L85" i="3"/>
  <c r="L86" i="3"/>
  <c r="S86" i="3" s="1"/>
  <c r="T86" i="3" s="1"/>
  <c r="L87" i="3"/>
  <c r="S87" i="3" s="1"/>
  <c r="T87" i="3" s="1"/>
  <c r="L88" i="3"/>
  <c r="X88" i="3" s="1"/>
  <c r="Y88" i="3" s="1"/>
  <c r="L89" i="3"/>
  <c r="X89" i="3" s="1"/>
  <c r="Y89" i="3" s="1"/>
  <c r="L90" i="3"/>
  <c r="S90" i="3" s="1"/>
  <c r="T90" i="3" s="1"/>
  <c r="L91" i="3"/>
  <c r="X91" i="3" s="1"/>
  <c r="Y91" i="3" s="1"/>
  <c r="L92" i="3"/>
  <c r="S92" i="3" s="1"/>
  <c r="T92" i="3" s="1"/>
  <c r="L93" i="3"/>
  <c r="X93" i="3" s="1"/>
  <c r="Y93" i="3" s="1"/>
  <c r="L94" i="3"/>
  <c r="X94" i="3" s="1"/>
  <c r="Y94" i="3" s="1"/>
  <c r="L95" i="3"/>
  <c r="X95" i="3" s="1"/>
  <c r="Y95" i="3" s="1"/>
  <c r="L96" i="3"/>
  <c r="X96" i="3" s="1"/>
  <c r="Y96" i="3" s="1"/>
  <c r="L97" i="3"/>
  <c r="X97" i="3" s="1"/>
  <c r="Y97" i="3" s="1"/>
  <c r="L98" i="3"/>
  <c r="L99" i="3"/>
  <c r="L100" i="3"/>
  <c r="L101" i="3"/>
  <c r="L102" i="3"/>
  <c r="X102" i="3" s="1"/>
  <c r="Y102" i="3" s="1"/>
  <c r="L103" i="3"/>
  <c r="S103" i="3" s="1"/>
  <c r="T103" i="3" s="1"/>
  <c r="L104" i="3"/>
  <c r="X104" i="3" s="1"/>
  <c r="Y104" i="3" s="1"/>
  <c r="L105" i="3"/>
  <c r="X105" i="3" s="1"/>
  <c r="Y105" i="3" s="1"/>
  <c r="L106" i="3"/>
  <c r="X106" i="3" s="1"/>
  <c r="Y106" i="3" s="1"/>
  <c r="L107" i="3"/>
  <c r="S107" i="3" s="1"/>
  <c r="T107" i="3" s="1"/>
  <c r="L108" i="3"/>
  <c r="S108" i="3" s="1"/>
  <c r="T108" i="3" s="1"/>
  <c r="L109" i="3"/>
  <c r="S109" i="3" s="1"/>
  <c r="T109" i="3" s="1"/>
  <c r="L110" i="3"/>
  <c r="L111" i="3"/>
  <c r="L112" i="3"/>
  <c r="L113" i="3"/>
  <c r="L114" i="3"/>
  <c r="L115" i="3"/>
  <c r="S115" i="3" s="1"/>
  <c r="T115" i="3" s="1"/>
  <c r="L116" i="3"/>
  <c r="X116" i="3" s="1"/>
  <c r="Y116" i="3" s="1"/>
  <c r="L117" i="3"/>
  <c r="L118" i="3"/>
  <c r="X118" i="3" s="1"/>
  <c r="Y118" i="3" s="1"/>
  <c r="L119" i="3"/>
  <c r="X119" i="3" s="1"/>
  <c r="Y119" i="3" s="1"/>
  <c r="L120" i="3"/>
  <c r="X120" i="3" s="1"/>
  <c r="Y120" i="3" s="1"/>
  <c r="L121" i="3"/>
  <c r="X121" i="3" s="1"/>
  <c r="Y121" i="3" s="1"/>
  <c r="L122" i="3"/>
  <c r="X122" i="3" s="1"/>
  <c r="Y122" i="3" s="1"/>
  <c r="L123" i="3"/>
  <c r="L124" i="3"/>
  <c r="L125" i="3"/>
  <c r="L126" i="3"/>
  <c r="L127" i="3"/>
  <c r="L128" i="3"/>
  <c r="S128" i="3" s="1"/>
  <c r="T128" i="3" s="1"/>
  <c r="L129" i="3"/>
  <c r="S129" i="3" s="1"/>
  <c r="T129" i="3" s="1"/>
  <c r="L130" i="3"/>
  <c r="S130" i="3" s="1"/>
  <c r="T130" i="3" s="1"/>
  <c r="L131" i="3"/>
  <c r="S131" i="3" s="1"/>
  <c r="T131" i="3" s="1"/>
  <c r="L132" i="3"/>
  <c r="S132" i="3" s="1"/>
  <c r="T132" i="3" s="1"/>
  <c r="L133" i="3"/>
  <c r="S133" i="3" s="1"/>
  <c r="T133" i="3" s="1"/>
  <c r="L134" i="3"/>
  <c r="L135" i="3"/>
  <c r="L136" i="3"/>
  <c r="L137" i="3"/>
  <c r="L138" i="3"/>
  <c r="S138" i="3" s="1"/>
  <c r="T138" i="3" s="1"/>
  <c r="L139" i="3"/>
  <c r="S139" i="3" s="1"/>
  <c r="T139" i="3" s="1"/>
  <c r="L140" i="3"/>
  <c r="S140" i="3" s="1"/>
  <c r="T140" i="3" s="1"/>
  <c r="L141" i="3"/>
  <c r="X141" i="3" s="1"/>
  <c r="Y141" i="3" s="1"/>
  <c r="L142" i="3"/>
  <c r="L143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G32" i="11" l="1"/>
  <c r="F20" i="11"/>
  <c r="F9" i="11"/>
  <c r="H9" i="11"/>
  <c r="F27" i="11"/>
  <c r="H27" i="11"/>
  <c r="F14" i="11"/>
  <c r="H14" i="11"/>
  <c r="H145" i="3"/>
  <c r="H144" i="3"/>
  <c r="H146" i="3"/>
  <c r="H19" i="11"/>
  <c r="F19" i="11"/>
  <c r="H15" i="11"/>
  <c r="F15" i="11"/>
  <c r="H29" i="11"/>
  <c r="F29" i="11"/>
  <c r="H12" i="11"/>
  <c r="F12" i="11"/>
  <c r="H25" i="11"/>
  <c r="F25" i="11"/>
  <c r="H17" i="11"/>
  <c r="F17" i="11"/>
  <c r="H13" i="11"/>
  <c r="F13" i="11"/>
  <c r="H32" i="11"/>
  <c r="F32" i="11"/>
  <c r="H30" i="11"/>
  <c r="F30" i="11"/>
  <c r="H18" i="11"/>
  <c r="F18" i="11"/>
  <c r="F21" i="11"/>
  <c r="H31" i="11"/>
  <c r="F31" i="11"/>
  <c r="H22" i="11"/>
  <c r="F22" i="11"/>
  <c r="H10" i="11"/>
  <c r="F10" i="11"/>
  <c r="H26" i="11"/>
  <c r="F26" i="11"/>
  <c r="H24" i="11"/>
  <c r="F24" i="11"/>
  <c r="H11" i="11"/>
  <c r="F11" i="11"/>
  <c r="H16" i="11"/>
  <c r="F16" i="11"/>
  <c r="H8" i="11"/>
  <c r="F8" i="11"/>
  <c r="H23" i="11"/>
  <c r="F23" i="11"/>
  <c r="X117" i="3"/>
  <c r="Y117" i="3" s="1"/>
  <c r="F11" i="10"/>
  <c r="H11" i="10"/>
  <c r="F10" i="10"/>
  <c r="H10" i="10"/>
  <c r="F12" i="10"/>
  <c r="H12" i="10"/>
  <c r="F13" i="10"/>
  <c r="H13" i="10"/>
  <c r="F15" i="10"/>
  <c r="H15" i="10"/>
  <c r="F16" i="10"/>
  <c r="H16" i="10"/>
  <c r="F14" i="10"/>
  <c r="F9" i="10"/>
  <c r="H9" i="10"/>
  <c r="AA90" i="3"/>
  <c r="AC90" i="3" s="1"/>
  <c r="X139" i="3"/>
  <c r="Y139" i="3" s="1"/>
  <c r="G139" i="3" s="1"/>
  <c r="F139" i="3" s="1"/>
  <c r="S117" i="3"/>
  <c r="T117" i="3" s="1"/>
  <c r="X86" i="3"/>
  <c r="Y86" i="3" s="1"/>
  <c r="G86" i="3" s="1"/>
  <c r="F86" i="3" s="1"/>
  <c r="X140" i="3"/>
  <c r="Y140" i="3" s="1"/>
  <c r="G140" i="3" s="1"/>
  <c r="F140" i="3" s="1"/>
  <c r="S119" i="3"/>
  <c r="T119" i="3" s="1"/>
  <c r="G119" i="3" s="1"/>
  <c r="F119" i="3" s="1"/>
  <c r="X80" i="3"/>
  <c r="Y80" i="3" s="1"/>
  <c r="G80" i="3" s="1"/>
  <c r="F80" i="3" s="1"/>
  <c r="S118" i="3"/>
  <c r="T118" i="3" s="1"/>
  <c r="G118" i="3" s="1"/>
  <c r="F118" i="3" s="1"/>
  <c r="X79" i="3"/>
  <c r="Y79" i="3" s="1"/>
  <c r="G79" i="3" s="1"/>
  <c r="H79" i="3" s="1"/>
  <c r="S116" i="3"/>
  <c r="T116" i="3" s="1"/>
  <c r="G116" i="3" s="1"/>
  <c r="F116" i="3" s="1"/>
  <c r="S97" i="3"/>
  <c r="T97" i="3" s="1"/>
  <c r="G97" i="3" s="1"/>
  <c r="F97" i="3" s="1"/>
  <c r="S88" i="3"/>
  <c r="T88" i="3" s="1"/>
  <c r="G88" i="3" s="1"/>
  <c r="F88" i="3" s="1"/>
  <c r="X138" i="3"/>
  <c r="Y138" i="3" s="1"/>
  <c r="G138" i="3" s="1"/>
  <c r="F138" i="3" s="1"/>
  <c r="X131" i="3"/>
  <c r="Y131" i="3" s="1"/>
  <c r="G131" i="3" s="1"/>
  <c r="F131" i="3" s="1"/>
  <c r="X129" i="3"/>
  <c r="Y129" i="3" s="1"/>
  <c r="G129" i="3" s="1"/>
  <c r="F129" i="3" s="1"/>
  <c r="S96" i="3"/>
  <c r="T96" i="3" s="1"/>
  <c r="G96" i="3" s="1"/>
  <c r="X128" i="3"/>
  <c r="Y128" i="3" s="1"/>
  <c r="G128" i="3" s="1"/>
  <c r="F128" i="3" s="1"/>
  <c r="X115" i="3"/>
  <c r="Y115" i="3" s="1"/>
  <c r="G115" i="3" s="1"/>
  <c r="F115" i="3" s="1"/>
  <c r="S78" i="3"/>
  <c r="T78" i="3" s="1"/>
  <c r="G78" i="3" s="1"/>
  <c r="F78" i="3" s="1"/>
  <c r="S77" i="3"/>
  <c r="T77" i="3" s="1"/>
  <c r="G77" i="3" s="1"/>
  <c r="F77" i="3" s="1"/>
  <c r="S106" i="3"/>
  <c r="T106" i="3" s="1"/>
  <c r="G106" i="3" s="1"/>
  <c r="F106" i="3" s="1"/>
  <c r="S75" i="3"/>
  <c r="T75" i="3" s="1"/>
  <c r="G75" i="3" s="1"/>
  <c r="F75" i="3" s="1"/>
  <c r="S105" i="3"/>
  <c r="T105" i="3" s="1"/>
  <c r="G105" i="3" s="1"/>
  <c r="F105" i="3" s="1"/>
  <c r="X108" i="3"/>
  <c r="Y108" i="3" s="1"/>
  <c r="G108" i="3" s="1"/>
  <c r="F108" i="3" s="1"/>
  <c r="S104" i="3"/>
  <c r="T104" i="3" s="1"/>
  <c r="G104" i="3" s="1"/>
  <c r="F104" i="3" s="1"/>
  <c r="S74" i="3"/>
  <c r="T74" i="3" s="1"/>
  <c r="G74" i="3" s="1"/>
  <c r="F74" i="3" s="1"/>
  <c r="X132" i="3"/>
  <c r="Y132" i="3" s="1"/>
  <c r="G132" i="3" s="1"/>
  <c r="F132" i="3" s="1"/>
  <c r="X107" i="3"/>
  <c r="Y107" i="3" s="1"/>
  <c r="G107" i="3" s="1"/>
  <c r="F107" i="3" s="1"/>
  <c r="X103" i="3"/>
  <c r="Y103" i="3" s="1"/>
  <c r="G103" i="3" s="1"/>
  <c r="F103" i="3" s="1"/>
  <c r="S122" i="3"/>
  <c r="T122" i="3" s="1"/>
  <c r="G122" i="3" s="1"/>
  <c r="F122" i="3" s="1"/>
  <c r="S94" i="3"/>
  <c r="T94" i="3" s="1"/>
  <c r="G94" i="3" s="1"/>
  <c r="F94" i="3" s="1"/>
  <c r="X92" i="3"/>
  <c r="Y92" i="3" s="1"/>
  <c r="G92" i="3" s="1"/>
  <c r="S141" i="3"/>
  <c r="T141" i="3" s="1"/>
  <c r="G141" i="3" s="1"/>
  <c r="F141" i="3" s="1"/>
  <c r="S121" i="3"/>
  <c r="T121" i="3" s="1"/>
  <c r="G121" i="3" s="1"/>
  <c r="S91" i="3"/>
  <c r="T91" i="3" s="1"/>
  <c r="G91" i="3" s="1"/>
  <c r="H91" i="3" s="1"/>
  <c r="X90" i="3"/>
  <c r="Y90" i="3" s="1"/>
  <c r="G90" i="3" s="1"/>
  <c r="S120" i="3"/>
  <c r="T120" i="3" s="1"/>
  <c r="G120" i="3" s="1"/>
  <c r="F120" i="3" s="1"/>
  <c r="S76" i="3"/>
  <c r="T76" i="3" s="1"/>
  <c r="G76" i="3" s="1"/>
  <c r="F76" i="3" s="1"/>
  <c r="X130" i="3"/>
  <c r="Y130" i="3" s="1"/>
  <c r="G130" i="3" s="1"/>
  <c r="F130" i="3" s="1"/>
  <c r="S89" i="3"/>
  <c r="T89" i="3" s="1"/>
  <c r="G89" i="3" s="1"/>
  <c r="F89" i="3" s="1"/>
  <c r="X87" i="3"/>
  <c r="Y87" i="3" s="1"/>
  <c r="G87" i="3" s="1"/>
  <c r="F87" i="3" s="1"/>
  <c r="X127" i="3"/>
  <c r="Y127" i="3" s="1"/>
  <c r="S127" i="3"/>
  <c r="T127" i="3" s="1"/>
  <c r="X85" i="3"/>
  <c r="Y85" i="3" s="1"/>
  <c r="S85" i="3"/>
  <c r="T85" i="3" s="1"/>
  <c r="X113" i="3"/>
  <c r="Y113" i="3" s="1"/>
  <c r="S113" i="3"/>
  <c r="T113" i="3" s="1"/>
  <c r="X137" i="3"/>
  <c r="Y137" i="3" s="1"/>
  <c r="S137" i="3"/>
  <c r="T137" i="3" s="1"/>
  <c r="X114" i="3"/>
  <c r="Y114" i="3" s="1"/>
  <c r="S114" i="3"/>
  <c r="T114" i="3" s="1"/>
  <c r="X126" i="3"/>
  <c r="Y126" i="3" s="1"/>
  <c r="S126" i="3"/>
  <c r="X84" i="3"/>
  <c r="Y84" i="3" s="1"/>
  <c r="S84" i="3"/>
  <c r="T84" i="3" s="1"/>
  <c r="S71" i="3"/>
  <c r="T71" i="3" s="1"/>
  <c r="G71" i="3" s="1"/>
  <c r="F71" i="3" s="1"/>
  <c r="AA94" i="3"/>
  <c r="AC94" i="3" s="1"/>
  <c r="X101" i="3"/>
  <c r="Y101" i="3" s="1"/>
  <c r="S101" i="3"/>
  <c r="T101" i="3" s="1"/>
  <c r="X100" i="3"/>
  <c r="Y100" i="3" s="1"/>
  <c r="S100" i="3"/>
  <c r="T100" i="3" s="1"/>
  <c r="X110" i="3"/>
  <c r="Y110" i="3" s="1"/>
  <c r="S110" i="3"/>
  <c r="T110" i="3" s="1"/>
  <c r="S72" i="3"/>
  <c r="T72" i="3" s="1"/>
  <c r="G72" i="3" s="1"/>
  <c r="F72" i="3" s="1"/>
  <c r="X109" i="3"/>
  <c r="Y109" i="3" s="1"/>
  <c r="G109" i="3" s="1"/>
  <c r="F109" i="3" s="1"/>
  <c r="X134" i="3"/>
  <c r="Y134" i="3" s="1"/>
  <c r="S134" i="3"/>
  <c r="T134" i="3" s="1"/>
  <c r="X123" i="3"/>
  <c r="Y123" i="3" s="1"/>
  <c r="S123" i="3"/>
  <c r="T123" i="3" s="1"/>
  <c r="X82" i="3"/>
  <c r="Y82" i="3" s="1"/>
  <c r="S82" i="3"/>
  <c r="T82" i="3" s="1"/>
  <c r="X81" i="3"/>
  <c r="Y81" i="3" s="1"/>
  <c r="S81" i="3"/>
  <c r="T81" i="3" s="1"/>
  <c r="X133" i="3"/>
  <c r="Y133" i="3" s="1"/>
  <c r="G133" i="3" s="1"/>
  <c r="F133" i="3" s="1"/>
  <c r="X143" i="3"/>
  <c r="Y143" i="3" s="1"/>
  <c r="S143" i="3"/>
  <c r="T143" i="3" s="1"/>
  <c r="X136" i="3"/>
  <c r="Y136" i="3" s="1"/>
  <c r="S136" i="3"/>
  <c r="T136" i="3" s="1"/>
  <c r="X125" i="3"/>
  <c r="Y125" i="3" s="1"/>
  <c r="S125" i="3"/>
  <c r="T125" i="3" s="1"/>
  <c r="X112" i="3"/>
  <c r="Y112" i="3" s="1"/>
  <c r="S112" i="3"/>
  <c r="T112" i="3" s="1"/>
  <c r="X99" i="3"/>
  <c r="Y99" i="3" s="1"/>
  <c r="S99" i="3"/>
  <c r="T99" i="3" s="1"/>
  <c r="X83" i="3"/>
  <c r="Y83" i="3" s="1"/>
  <c r="S83" i="3"/>
  <c r="T83" i="3" s="1"/>
  <c r="S95" i="3"/>
  <c r="T95" i="3" s="1"/>
  <c r="G95" i="3" s="1"/>
  <c r="F95" i="3" s="1"/>
  <c r="X142" i="3"/>
  <c r="Y142" i="3" s="1"/>
  <c r="S142" i="3"/>
  <c r="T142" i="3" s="1"/>
  <c r="X135" i="3"/>
  <c r="Y135" i="3" s="1"/>
  <c r="S135" i="3"/>
  <c r="T135" i="3" s="1"/>
  <c r="X124" i="3"/>
  <c r="Y124" i="3" s="1"/>
  <c r="S124" i="3"/>
  <c r="T124" i="3" s="1"/>
  <c r="X111" i="3"/>
  <c r="Y111" i="3" s="1"/>
  <c r="S111" i="3"/>
  <c r="T111" i="3" s="1"/>
  <c r="X98" i="3"/>
  <c r="Y98" i="3" s="1"/>
  <c r="S98" i="3"/>
  <c r="T98" i="3" s="1"/>
  <c r="X73" i="3"/>
  <c r="Y73" i="3" s="1"/>
  <c r="S73" i="3"/>
  <c r="T73" i="3" s="1"/>
  <c r="X70" i="3"/>
  <c r="Y70" i="3" s="1"/>
  <c r="S70" i="3"/>
  <c r="T70" i="3" s="1"/>
  <c r="S93" i="3"/>
  <c r="T93" i="3" s="1"/>
  <c r="G93" i="3" s="1"/>
  <c r="F93" i="3" s="1"/>
  <c r="S102" i="3"/>
  <c r="T102" i="3" s="1"/>
  <c r="G102" i="3" s="1"/>
  <c r="R38" i="3"/>
  <c r="G135" i="3" l="1"/>
  <c r="H135" i="3" s="1"/>
  <c r="F102" i="3"/>
  <c r="H102" i="3"/>
  <c r="F96" i="3"/>
  <c r="H96" i="3"/>
  <c r="F79" i="3"/>
  <c r="F121" i="3"/>
  <c r="H121" i="3"/>
  <c r="F90" i="3"/>
  <c r="H90" i="3"/>
  <c r="F91" i="3"/>
  <c r="F92" i="3"/>
  <c r="G117" i="3"/>
  <c r="F117" i="3" s="1"/>
  <c r="H72" i="3"/>
  <c r="H104" i="3"/>
  <c r="H116" i="3"/>
  <c r="H87" i="3"/>
  <c r="H103" i="3"/>
  <c r="H139" i="3"/>
  <c r="H141" i="3"/>
  <c r="H129" i="3"/>
  <c r="H95" i="3"/>
  <c r="H71" i="3"/>
  <c r="H140" i="3"/>
  <c r="H109" i="3"/>
  <c r="H132" i="3"/>
  <c r="H75" i="3"/>
  <c r="H94" i="3"/>
  <c r="H78" i="3"/>
  <c r="H97" i="3"/>
  <c r="H128" i="3"/>
  <c r="H108" i="3"/>
  <c r="H89" i="3"/>
  <c r="H118" i="3"/>
  <c r="H105" i="3"/>
  <c r="H80" i="3"/>
  <c r="H119" i="3"/>
  <c r="H130" i="3"/>
  <c r="H131" i="3"/>
  <c r="H76" i="3"/>
  <c r="H93" i="3"/>
  <c r="H120" i="3"/>
  <c r="H106" i="3"/>
  <c r="H138" i="3"/>
  <c r="H86" i="3"/>
  <c r="H133" i="3"/>
  <c r="H74" i="3"/>
  <c r="H77" i="3"/>
  <c r="H88" i="3"/>
  <c r="G134" i="3"/>
  <c r="F134" i="3" s="1"/>
  <c r="G113" i="3"/>
  <c r="F113" i="3" s="1"/>
  <c r="G124" i="3"/>
  <c r="F124" i="3" s="1"/>
  <c r="G83" i="3"/>
  <c r="F83" i="3" s="1"/>
  <c r="G81" i="3"/>
  <c r="F81" i="3" s="1"/>
  <c r="G125" i="3"/>
  <c r="F125" i="3" s="1"/>
  <c r="G82" i="3"/>
  <c r="F82" i="3" s="1"/>
  <c r="G110" i="3"/>
  <c r="F110" i="3" s="1"/>
  <c r="G127" i="3"/>
  <c r="F127" i="3" s="1"/>
  <c r="G70" i="3"/>
  <c r="F70" i="3" s="1"/>
  <c r="G111" i="3"/>
  <c r="H111" i="3" s="1"/>
  <c r="G123" i="3"/>
  <c r="F123" i="3" s="1"/>
  <c r="G99" i="3"/>
  <c r="F99" i="3" s="1"/>
  <c r="G73" i="3"/>
  <c r="F73" i="3" s="1"/>
  <c r="G142" i="3"/>
  <c r="F142" i="3" s="1"/>
  <c r="G85" i="3"/>
  <c r="F85" i="3" s="1"/>
  <c r="G98" i="3"/>
  <c r="F98" i="3" s="1"/>
  <c r="G100" i="3"/>
  <c r="F100" i="3" s="1"/>
  <c r="G137" i="3"/>
  <c r="F137" i="3" s="1"/>
  <c r="G84" i="3"/>
  <c r="F84" i="3" s="1"/>
  <c r="G112" i="3"/>
  <c r="G101" i="3"/>
  <c r="F101" i="3" s="1"/>
  <c r="G126" i="3"/>
  <c r="F126" i="3" s="1"/>
  <c r="G136" i="3"/>
  <c r="H136" i="3" s="1"/>
  <c r="G143" i="3"/>
  <c r="F143" i="3" s="1"/>
  <c r="G114" i="3"/>
  <c r="F136" i="3" l="1"/>
  <c r="F114" i="3"/>
  <c r="H114" i="3"/>
  <c r="H117" i="3"/>
  <c r="F112" i="3"/>
  <c r="H112" i="3"/>
  <c r="F111" i="3"/>
  <c r="F135" i="3"/>
  <c r="H81" i="3"/>
  <c r="H84" i="3"/>
  <c r="H123" i="3"/>
  <c r="H143" i="3"/>
  <c r="H124" i="3"/>
  <c r="H137" i="3"/>
  <c r="H113" i="3"/>
  <c r="H100" i="3"/>
  <c r="H70" i="3"/>
  <c r="H127" i="3"/>
  <c r="H134" i="3"/>
  <c r="H98" i="3"/>
  <c r="H110" i="3"/>
  <c r="H85" i="3"/>
  <c r="H82" i="3"/>
  <c r="H126" i="3"/>
  <c r="H142" i="3"/>
  <c r="H125" i="3"/>
  <c r="H73" i="3"/>
  <c r="H99" i="3"/>
  <c r="J34" i="3"/>
  <c r="J35" i="3"/>
  <c r="J36" i="3"/>
  <c r="J37" i="3"/>
  <c r="J30" i="3"/>
  <c r="J38" i="3"/>
  <c r="J28" i="3"/>
  <c r="J23" i="3"/>
  <c r="J21" i="3"/>
  <c r="J40" i="3"/>
  <c r="J18" i="3"/>
  <c r="J42" i="3"/>
  <c r="J17" i="3"/>
  <c r="J43" i="3"/>
  <c r="J45" i="3"/>
  <c r="J46" i="3"/>
  <c r="J13" i="3"/>
  <c r="J11" i="3"/>
  <c r="J10" i="3"/>
  <c r="J9" i="3"/>
  <c r="J66" i="3"/>
  <c r="J63" i="3"/>
  <c r="J49" i="3"/>
  <c r="J50" i="3"/>
  <c r="J48" i="3"/>
  <c r="J47" i="3"/>
  <c r="J51" i="3"/>
  <c r="J41" i="3"/>
  <c r="J39" i="3"/>
  <c r="J33" i="3"/>
  <c r="J32" i="3"/>
  <c r="J27" i="3"/>
  <c r="J54" i="3"/>
  <c r="J55" i="3"/>
  <c r="J56" i="3"/>
  <c r="J20" i="3"/>
  <c r="J19" i="3"/>
  <c r="J16" i="3"/>
  <c r="J58" i="3"/>
  <c r="J14" i="3"/>
  <c r="J12" i="3"/>
  <c r="J59" i="3"/>
  <c r="J8" i="3"/>
  <c r="J60" i="3"/>
  <c r="J61" i="3"/>
  <c r="J68" i="3"/>
  <c r="J65" i="3"/>
  <c r="J62" i="3"/>
  <c r="J57" i="3"/>
  <c r="J53" i="3"/>
  <c r="J64" i="3"/>
  <c r="J52" i="3"/>
  <c r="J44" i="3"/>
  <c r="J31" i="3"/>
  <c r="J67" i="3"/>
  <c r="J29" i="3"/>
  <c r="J26" i="3"/>
  <c r="J25" i="3"/>
  <c r="J24" i="3"/>
  <c r="J22" i="3"/>
  <c r="J15" i="3"/>
  <c r="J69" i="3"/>
  <c r="L34" i="3"/>
  <c r="L35" i="3"/>
  <c r="L36" i="3"/>
  <c r="L37" i="3"/>
  <c r="L30" i="3"/>
  <c r="L38" i="3"/>
  <c r="L28" i="3"/>
  <c r="L23" i="3"/>
  <c r="L21" i="3"/>
  <c r="L40" i="3"/>
  <c r="L18" i="3"/>
  <c r="L42" i="3"/>
  <c r="L17" i="3"/>
  <c r="L43" i="3"/>
  <c r="L45" i="3"/>
  <c r="L46" i="3"/>
  <c r="L13" i="3"/>
  <c r="L11" i="3"/>
  <c r="L10" i="3"/>
  <c r="L9" i="3"/>
  <c r="L66" i="3"/>
  <c r="L63" i="3"/>
  <c r="L49" i="3"/>
  <c r="L50" i="3"/>
  <c r="L48" i="3"/>
  <c r="L47" i="3"/>
  <c r="L51" i="3"/>
  <c r="L41" i="3"/>
  <c r="L39" i="3"/>
  <c r="L33" i="3"/>
  <c r="L32" i="3"/>
  <c r="L27" i="3"/>
  <c r="L54" i="3"/>
  <c r="L55" i="3"/>
  <c r="L56" i="3"/>
  <c r="L20" i="3"/>
  <c r="L19" i="3"/>
  <c r="L16" i="3"/>
  <c r="L58" i="3"/>
  <c r="L14" i="3"/>
  <c r="L12" i="3"/>
  <c r="L59" i="3"/>
  <c r="L8" i="3"/>
  <c r="L60" i="3"/>
  <c r="L61" i="3"/>
  <c r="L68" i="3"/>
  <c r="L65" i="3"/>
  <c r="L62" i="3"/>
  <c r="L57" i="3"/>
  <c r="L53" i="3"/>
  <c r="L64" i="3"/>
  <c r="L52" i="3"/>
  <c r="L44" i="3"/>
  <c r="L31" i="3"/>
  <c r="L67" i="3"/>
  <c r="L29" i="3"/>
  <c r="L26" i="3"/>
  <c r="L25" i="3"/>
  <c r="L24" i="3"/>
  <c r="S24" i="3" s="1"/>
  <c r="L22" i="3"/>
  <c r="L15" i="3"/>
  <c r="L69" i="3"/>
  <c r="R34" i="3"/>
  <c r="R35" i="3"/>
  <c r="R36" i="3"/>
  <c r="R37" i="3"/>
  <c r="R30" i="3"/>
  <c r="R28" i="3"/>
  <c r="R23" i="3"/>
  <c r="R21" i="3"/>
  <c r="R40" i="3"/>
  <c r="R18" i="3"/>
  <c r="R42" i="3"/>
  <c r="R17" i="3"/>
  <c r="R43" i="3"/>
  <c r="R45" i="3"/>
  <c r="R46" i="3"/>
  <c r="R13" i="3"/>
  <c r="R11" i="3"/>
  <c r="R10" i="3"/>
  <c r="R9" i="3"/>
  <c r="R66" i="3"/>
  <c r="R63" i="3"/>
  <c r="R49" i="3"/>
  <c r="R50" i="3"/>
  <c r="R48" i="3"/>
  <c r="R47" i="3"/>
  <c r="R51" i="3"/>
  <c r="R41" i="3"/>
  <c r="R39" i="3"/>
  <c r="R33" i="3"/>
  <c r="R32" i="3"/>
  <c r="R27" i="3"/>
  <c r="R54" i="3"/>
  <c r="R55" i="3"/>
  <c r="R56" i="3"/>
  <c r="R20" i="3"/>
  <c r="R19" i="3"/>
  <c r="R16" i="3"/>
  <c r="R58" i="3"/>
  <c r="R14" i="3"/>
  <c r="R12" i="3"/>
  <c r="R59" i="3"/>
  <c r="R8" i="3"/>
  <c r="R60" i="3"/>
  <c r="R61" i="3"/>
  <c r="R68" i="3"/>
  <c r="R65" i="3"/>
  <c r="R62" i="3"/>
  <c r="R57" i="3"/>
  <c r="R53" i="3"/>
  <c r="R64" i="3"/>
  <c r="R52" i="3"/>
  <c r="R44" i="3"/>
  <c r="R31" i="3"/>
  <c r="R67" i="3"/>
  <c r="R29" i="3"/>
  <c r="R26" i="3"/>
  <c r="R25" i="3"/>
  <c r="R24" i="3"/>
  <c r="R22" i="3"/>
  <c r="R15" i="3"/>
  <c r="R69" i="3"/>
  <c r="W34" i="3"/>
  <c r="W35" i="3"/>
  <c r="W36" i="3"/>
  <c r="W37" i="3"/>
  <c r="W30" i="3"/>
  <c r="W38" i="3"/>
  <c r="W28" i="3"/>
  <c r="W23" i="3"/>
  <c r="W21" i="3"/>
  <c r="W40" i="3"/>
  <c r="W18" i="3"/>
  <c r="W42" i="3"/>
  <c r="W17" i="3"/>
  <c r="W43" i="3"/>
  <c r="W45" i="3"/>
  <c r="W46" i="3"/>
  <c r="W13" i="3"/>
  <c r="W11" i="3"/>
  <c r="W10" i="3"/>
  <c r="W9" i="3"/>
  <c r="W66" i="3"/>
  <c r="W63" i="3"/>
  <c r="W49" i="3"/>
  <c r="W50" i="3"/>
  <c r="W48" i="3"/>
  <c r="W47" i="3"/>
  <c r="W51" i="3"/>
  <c r="W41" i="3"/>
  <c r="W39" i="3"/>
  <c r="W33" i="3"/>
  <c r="W32" i="3"/>
  <c r="W27" i="3"/>
  <c r="W54" i="3"/>
  <c r="W55" i="3"/>
  <c r="W56" i="3"/>
  <c r="W20" i="3"/>
  <c r="W19" i="3"/>
  <c r="W16" i="3"/>
  <c r="W58" i="3"/>
  <c r="W12" i="3"/>
  <c r="W59" i="3"/>
  <c r="W8" i="3"/>
  <c r="W60" i="3"/>
  <c r="W61" i="3"/>
  <c r="W68" i="3"/>
  <c r="W65" i="3"/>
  <c r="W62" i="3"/>
  <c r="W57" i="3"/>
  <c r="W53" i="3"/>
  <c r="W64" i="3"/>
  <c r="W52" i="3"/>
  <c r="W44" i="3"/>
  <c r="W31" i="3"/>
  <c r="W67" i="3"/>
  <c r="W29" i="3"/>
  <c r="W26" i="3"/>
  <c r="W25" i="3"/>
  <c r="W24" i="3"/>
  <c r="W22" i="3"/>
  <c r="W15" i="3"/>
  <c r="W69" i="3"/>
  <c r="AB34" i="3"/>
  <c r="AA34" i="3" s="1"/>
  <c r="AC34" i="3" s="1"/>
  <c r="AA35" i="3"/>
  <c r="AC35" i="3" s="1"/>
  <c r="AB36" i="3"/>
  <c r="AA36" i="3" s="1"/>
  <c r="AC36" i="3" s="1"/>
  <c r="AB37" i="3"/>
  <c r="AA37" i="3" s="1"/>
  <c r="AC37" i="3" s="1"/>
  <c r="AB30" i="3"/>
  <c r="AA30" i="3" s="1"/>
  <c r="AC30" i="3" s="1"/>
  <c r="AB38" i="3"/>
  <c r="AA38" i="3" s="1"/>
  <c r="AC38" i="3" s="1"/>
  <c r="AB28" i="3"/>
  <c r="AA28" i="3" s="1"/>
  <c r="AC28" i="3" s="1"/>
  <c r="AB23" i="3"/>
  <c r="AA23" i="3" s="1"/>
  <c r="AC23" i="3" s="1"/>
  <c r="AB21" i="3"/>
  <c r="AA21" i="3" s="1"/>
  <c r="AC21" i="3" s="1"/>
  <c r="AB40" i="3"/>
  <c r="AA40" i="3" s="1"/>
  <c r="AC40" i="3" s="1"/>
  <c r="AB18" i="3"/>
  <c r="AA18" i="3" s="1"/>
  <c r="AC18" i="3" s="1"/>
  <c r="AB42" i="3"/>
  <c r="AA42" i="3" s="1"/>
  <c r="AC42" i="3" s="1"/>
  <c r="AB17" i="3"/>
  <c r="AA17" i="3" s="1"/>
  <c r="AC17" i="3" s="1"/>
  <c r="AB43" i="3"/>
  <c r="AA43" i="3" s="1"/>
  <c r="AC43" i="3" s="1"/>
  <c r="AB45" i="3"/>
  <c r="AA45" i="3" s="1"/>
  <c r="AC45" i="3" s="1"/>
  <c r="AB46" i="3"/>
  <c r="AA46" i="3" s="1"/>
  <c r="AC46" i="3" s="1"/>
  <c r="AB13" i="3"/>
  <c r="AA13" i="3" s="1"/>
  <c r="AC13" i="3" s="1"/>
  <c r="AB11" i="3"/>
  <c r="AA11" i="3" s="1"/>
  <c r="AC11" i="3" s="1"/>
  <c r="AB10" i="3"/>
  <c r="AA10" i="3" s="1"/>
  <c r="AC10" i="3" s="1"/>
  <c r="AB9" i="3"/>
  <c r="AA9" i="3" s="1"/>
  <c r="AC9" i="3" s="1"/>
  <c r="AB66" i="3"/>
  <c r="AA66" i="3" s="1"/>
  <c r="AC66" i="3" s="1"/>
  <c r="AB63" i="3"/>
  <c r="AA63" i="3" s="1"/>
  <c r="AC63" i="3" s="1"/>
  <c r="AB49" i="3"/>
  <c r="AA49" i="3" s="1"/>
  <c r="AC49" i="3" s="1"/>
  <c r="AB50" i="3"/>
  <c r="AA50" i="3" s="1"/>
  <c r="AC50" i="3" s="1"/>
  <c r="AB48" i="3"/>
  <c r="AA48" i="3" s="1"/>
  <c r="AC48" i="3" s="1"/>
  <c r="AA47" i="3"/>
  <c r="AC47" i="3" s="1"/>
  <c r="AB51" i="3"/>
  <c r="AA51" i="3" s="1"/>
  <c r="AC51" i="3" s="1"/>
  <c r="AB41" i="3"/>
  <c r="AA41" i="3" s="1"/>
  <c r="AC41" i="3" s="1"/>
  <c r="AB39" i="3"/>
  <c r="AA39" i="3" s="1"/>
  <c r="AC39" i="3" s="1"/>
  <c r="AB33" i="3"/>
  <c r="AA33" i="3" s="1"/>
  <c r="AC33" i="3" s="1"/>
  <c r="AB32" i="3"/>
  <c r="AA32" i="3" s="1"/>
  <c r="AC32" i="3" s="1"/>
  <c r="AB27" i="3"/>
  <c r="AA27" i="3" s="1"/>
  <c r="AC27" i="3" s="1"/>
  <c r="AB54" i="3"/>
  <c r="AA54" i="3" s="1"/>
  <c r="AC54" i="3" s="1"/>
  <c r="AB55" i="3"/>
  <c r="AA55" i="3" s="1"/>
  <c r="AC55" i="3" s="1"/>
  <c r="AA56" i="3"/>
  <c r="AC56" i="3" s="1"/>
  <c r="AB20" i="3"/>
  <c r="AA20" i="3" s="1"/>
  <c r="AC20" i="3" s="1"/>
  <c r="AB19" i="3"/>
  <c r="AA19" i="3" s="1"/>
  <c r="AC19" i="3" s="1"/>
  <c r="AB16" i="3"/>
  <c r="AA16" i="3" s="1"/>
  <c r="AC16" i="3" s="1"/>
  <c r="AB58" i="3"/>
  <c r="AA58" i="3" s="1"/>
  <c r="AC58" i="3" s="1"/>
  <c r="AB14" i="3"/>
  <c r="AA14" i="3" s="1"/>
  <c r="AC14" i="3" s="1"/>
  <c r="AB12" i="3"/>
  <c r="AA12" i="3" s="1"/>
  <c r="AC12" i="3" s="1"/>
  <c r="AB59" i="3"/>
  <c r="AA59" i="3" s="1"/>
  <c r="AC59" i="3" s="1"/>
  <c r="AB8" i="3"/>
  <c r="AA8" i="3" s="1"/>
  <c r="AC8" i="3" s="1"/>
  <c r="AB60" i="3"/>
  <c r="AA60" i="3" s="1"/>
  <c r="AC60" i="3" s="1"/>
  <c r="AB61" i="3"/>
  <c r="AA61" i="3" s="1"/>
  <c r="AC61" i="3" s="1"/>
  <c r="AB68" i="3"/>
  <c r="AA68" i="3" s="1"/>
  <c r="AC68" i="3" s="1"/>
  <c r="AB65" i="3"/>
  <c r="AA65" i="3" s="1"/>
  <c r="AC65" i="3" s="1"/>
  <c r="AB62" i="3"/>
  <c r="AA62" i="3" s="1"/>
  <c r="AC62" i="3" s="1"/>
  <c r="AB57" i="3"/>
  <c r="AA57" i="3" s="1"/>
  <c r="AC57" i="3" s="1"/>
  <c r="AB53" i="3"/>
  <c r="AA53" i="3" s="1"/>
  <c r="AC53" i="3" s="1"/>
  <c r="AB64" i="3"/>
  <c r="AA64" i="3" s="1"/>
  <c r="AC64" i="3" s="1"/>
  <c r="AB52" i="3"/>
  <c r="AA52" i="3" s="1"/>
  <c r="AC52" i="3" s="1"/>
  <c r="AB44" i="3"/>
  <c r="AA44" i="3" s="1"/>
  <c r="AC44" i="3" s="1"/>
  <c r="AB31" i="3"/>
  <c r="AA31" i="3" s="1"/>
  <c r="AC31" i="3" s="1"/>
  <c r="AB67" i="3"/>
  <c r="AA67" i="3" s="1"/>
  <c r="AC67" i="3" s="1"/>
  <c r="AB29" i="3"/>
  <c r="AA29" i="3" s="1"/>
  <c r="AC29" i="3" s="1"/>
  <c r="AB26" i="3"/>
  <c r="AA26" i="3" s="1"/>
  <c r="AC26" i="3" s="1"/>
  <c r="AB25" i="3"/>
  <c r="AA25" i="3" s="1"/>
  <c r="AC25" i="3" s="1"/>
  <c r="AB24" i="3"/>
  <c r="AA24" i="3" s="1"/>
  <c r="AC24" i="3" s="1"/>
  <c r="AB22" i="3"/>
  <c r="AA22" i="3" s="1"/>
  <c r="AC22" i="3" s="1"/>
  <c r="AB15" i="3"/>
  <c r="AA15" i="3" s="1"/>
  <c r="AC15" i="3" s="1"/>
  <c r="AB69" i="3"/>
  <c r="AA69" i="3" s="1"/>
  <c r="AC69" i="3" s="1"/>
  <c r="X9" i="3" l="1"/>
  <c r="Y9" i="3" s="1"/>
  <c r="S9" i="3"/>
  <c r="T9" i="3" s="1"/>
  <c r="S27" i="3"/>
  <c r="T27" i="3" s="1"/>
  <c r="X27" i="3"/>
  <c r="Y27" i="3" s="1"/>
  <c r="X15" i="3"/>
  <c r="Y15" i="3" s="1"/>
  <c r="S15" i="3"/>
  <c r="T15" i="3" s="1"/>
  <c r="X32" i="3"/>
  <c r="Y32" i="3" s="1"/>
  <c r="S32" i="3"/>
  <c r="T32" i="3" s="1"/>
  <c r="X35" i="3"/>
  <c r="Y35" i="3" s="1"/>
  <c r="S35" i="3"/>
  <c r="T35" i="3" s="1"/>
  <c r="S22" i="3"/>
  <c r="T22" i="3" s="1"/>
  <c r="X22" i="3"/>
  <c r="Y22" i="3" s="1"/>
  <c r="X33" i="3"/>
  <c r="Y33" i="3" s="1"/>
  <c r="S33" i="3"/>
  <c r="T33" i="3" s="1"/>
  <c r="X34" i="3"/>
  <c r="Y34" i="3" s="1"/>
  <c r="S34" i="3"/>
  <c r="T34" i="3" s="1"/>
  <c r="X64" i="3"/>
  <c r="Y64" i="3" s="1"/>
  <c r="S64" i="3"/>
  <c r="T64" i="3" s="1"/>
  <c r="X53" i="3"/>
  <c r="Y53" i="3" s="1"/>
  <c r="S53" i="3"/>
  <c r="T53" i="3" s="1"/>
  <c r="X55" i="3"/>
  <c r="Y55" i="3" s="1"/>
  <c r="S55" i="3"/>
  <c r="T55" i="3" s="1"/>
  <c r="X54" i="3"/>
  <c r="Y54" i="3" s="1"/>
  <c r="S54" i="3"/>
  <c r="T54" i="3" s="1"/>
  <c r="S46" i="3"/>
  <c r="T46" i="3" s="1"/>
  <c r="X46" i="3"/>
  <c r="Y46" i="3" s="1"/>
  <c r="X45" i="3"/>
  <c r="Y45" i="3" s="1"/>
  <c r="S45" i="3"/>
  <c r="T45" i="3" s="1"/>
  <c r="X68" i="3"/>
  <c r="Y68" i="3" s="1"/>
  <c r="S68" i="3"/>
  <c r="T68" i="3" s="1"/>
  <c r="X24" i="3"/>
  <c r="Y24" i="3" s="1"/>
  <c r="T24" i="3"/>
  <c r="X61" i="3"/>
  <c r="Y61" i="3" s="1"/>
  <c r="S61" i="3"/>
  <c r="T61" i="3" s="1"/>
  <c r="X39" i="3"/>
  <c r="Y39" i="3" s="1"/>
  <c r="S39" i="3"/>
  <c r="T39" i="3" s="1"/>
  <c r="X43" i="3"/>
  <c r="Y43" i="3" s="1"/>
  <c r="S43" i="3"/>
  <c r="T43" i="3" s="1"/>
  <c r="X38" i="3"/>
  <c r="Y38" i="3" s="1"/>
  <c r="S38" i="3"/>
  <c r="T38" i="3" s="1"/>
  <c r="X56" i="3"/>
  <c r="Y56" i="3" s="1"/>
  <c r="S56" i="3"/>
  <c r="T56" i="3" s="1"/>
  <c r="X11" i="3"/>
  <c r="Y11" i="3" s="1"/>
  <c r="S11" i="3"/>
  <c r="T11" i="3" s="1"/>
  <c r="S17" i="3"/>
  <c r="T17" i="3" s="1"/>
  <c r="X17" i="3"/>
  <c r="Y17" i="3" s="1"/>
  <c r="S29" i="3"/>
  <c r="T29" i="3" s="1"/>
  <c r="X29" i="3"/>
  <c r="Y29" i="3" s="1"/>
  <c r="X67" i="3"/>
  <c r="Y67" i="3" s="1"/>
  <c r="S67" i="3"/>
  <c r="T67" i="3" s="1"/>
  <c r="X12" i="3"/>
  <c r="Y12" i="3" s="1"/>
  <c r="S12" i="3"/>
  <c r="T12" i="3" s="1"/>
  <c r="X48" i="3"/>
  <c r="Y48" i="3" s="1"/>
  <c r="S48" i="3"/>
  <c r="T48" i="3" s="1"/>
  <c r="X40" i="3"/>
  <c r="Y40" i="3" s="1"/>
  <c r="S40" i="3"/>
  <c r="T40" i="3" s="1"/>
  <c r="S62" i="3"/>
  <c r="T62" i="3" s="1"/>
  <c r="X62" i="3"/>
  <c r="Y62" i="3" s="1"/>
  <c r="S8" i="3"/>
  <c r="T8" i="3" s="1"/>
  <c r="X8" i="3"/>
  <c r="Y8" i="3" s="1"/>
  <c r="S59" i="3"/>
  <c r="T59" i="3" s="1"/>
  <c r="X59" i="3"/>
  <c r="Y59" i="3" s="1"/>
  <c r="X13" i="3"/>
  <c r="Y13" i="3" s="1"/>
  <c r="S13" i="3"/>
  <c r="T13" i="3" s="1"/>
  <c r="S36" i="3"/>
  <c r="T36" i="3" s="1"/>
  <c r="X36" i="3"/>
  <c r="Y36" i="3" s="1"/>
  <c r="S25" i="3"/>
  <c r="T25" i="3" s="1"/>
  <c r="X25" i="3"/>
  <c r="Y25" i="3" s="1"/>
  <c r="X51" i="3"/>
  <c r="Y51" i="3" s="1"/>
  <c r="S51" i="3"/>
  <c r="T51" i="3" s="1"/>
  <c r="S47" i="3"/>
  <c r="T47" i="3" s="1"/>
  <c r="X47" i="3"/>
  <c r="Y47" i="3" s="1"/>
  <c r="X14" i="3"/>
  <c r="S14" i="3"/>
  <c r="T14" i="3" s="1"/>
  <c r="X21" i="3"/>
  <c r="Y21" i="3" s="1"/>
  <c r="S21" i="3"/>
  <c r="T21" i="3" s="1"/>
  <c r="X44" i="3"/>
  <c r="Y44" i="3" s="1"/>
  <c r="S44" i="3"/>
  <c r="T44" i="3" s="1"/>
  <c r="S58" i="3"/>
  <c r="T58" i="3" s="1"/>
  <c r="X58" i="3"/>
  <c r="Y58" i="3" s="1"/>
  <c r="X49" i="3"/>
  <c r="Y49" i="3" s="1"/>
  <c r="S49" i="3"/>
  <c r="T49" i="3" s="1"/>
  <c r="X10" i="3"/>
  <c r="Y10" i="3" s="1"/>
  <c r="S10" i="3"/>
  <c r="T10" i="3" s="1"/>
  <c r="X37" i="3"/>
  <c r="Y37" i="3" s="1"/>
  <c r="S37" i="3"/>
  <c r="T37" i="3" s="1"/>
  <c r="S69" i="3"/>
  <c r="T69" i="3" s="1"/>
  <c r="X69" i="3"/>
  <c r="Y69" i="3" s="1"/>
  <c r="X60" i="3"/>
  <c r="Y60" i="3" s="1"/>
  <c r="S60" i="3"/>
  <c r="T60" i="3" s="1"/>
  <c r="S26" i="3"/>
  <c r="T26" i="3" s="1"/>
  <c r="X26" i="3"/>
  <c r="Y26" i="3" s="1"/>
  <c r="S18" i="3"/>
  <c r="T18" i="3" s="1"/>
  <c r="X18" i="3"/>
  <c r="Y18" i="3" s="1"/>
  <c r="X31" i="3"/>
  <c r="Y31" i="3" s="1"/>
  <c r="S31" i="3"/>
  <c r="T31" i="3" s="1"/>
  <c r="X50" i="3"/>
  <c r="Y50" i="3" s="1"/>
  <c r="S50" i="3"/>
  <c r="T50" i="3" s="1"/>
  <c r="X16" i="3"/>
  <c r="Y16" i="3" s="1"/>
  <c r="S16" i="3"/>
  <c r="T16" i="3" s="1"/>
  <c r="X63" i="3"/>
  <c r="Y63" i="3" s="1"/>
  <c r="S63" i="3"/>
  <c r="T63" i="3" s="1"/>
  <c r="X23" i="3"/>
  <c r="Y23" i="3" s="1"/>
  <c r="S23" i="3"/>
  <c r="T23" i="3" s="1"/>
  <c r="X20" i="3"/>
  <c r="Y20" i="3" s="1"/>
  <c r="S20" i="3"/>
  <c r="T20" i="3" s="1"/>
  <c r="S30" i="3"/>
  <c r="T30" i="3" s="1"/>
  <c r="X30" i="3"/>
  <c r="Y30" i="3" s="1"/>
  <c r="S57" i="3"/>
  <c r="T57" i="3" s="1"/>
  <c r="X57" i="3"/>
  <c r="Y57" i="3" s="1"/>
  <c r="X65" i="3"/>
  <c r="Y65" i="3" s="1"/>
  <c r="S65" i="3"/>
  <c r="T65" i="3" s="1"/>
  <c r="X41" i="3"/>
  <c r="Y41" i="3" s="1"/>
  <c r="S41" i="3"/>
  <c r="T41" i="3" s="1"/>
  <c r="X42" i="3"/>
  <c r="Y42" i="3" s="1"/>
  <c r="S42" i="3"/>
  <c r="T42" i="3" s="1"/>
  <c r="X52" i="3"/>
  <c r="Y52" i="3" s="1"/>
  <c r="S52" i="3"/>
  <c r="T52" i="3" s="1"/>
  <c r="X19" i="3"/>
  <c r="Y19" i="3" s="1"/>
  <c r="S19" i="3"/>
  <c r="T19" i="3" s="1"/>
  <c r="X66" i="3"/>
  <c r="Y66" i="3" s="1"/>
  <c r="S66" i="3"/>
  <c r="T66" i="3" s="1"/>
  <c r="S28" i="3"/>
  <c r="T28" i="3" s="1"/>
  <c r="X28" i="3"/>
  <c r="Y28" i="3" s="1"/>
  <c r="G30" i="3" l="1"/>
  <c r="F30" i="3" s="1"/>
  <c r="W14" i="3"/>
  <c r="Y14" i="3"/>
  <c r="G14" i="3" s="1"/>
  <c r="F14" i="3" s="1"/>
  <c r="G32" i="3"/>
  <c r="F32" i="3" s="1"/>
  <c r="G19" i="3"/>
  <c r="F19" i="3" s="1"/>
  <c r="G52" i="3"/>
  <c r="G13" i="3"/>
  <c r="F13" i="3" s="1"/>
  <c r="G47" i="3"/>
  <c r="F47" i="3" s="1"/>
  <c r="G8" i="3"/>
  <c r="F8" i="3" s="1"/>
  <c r="G24" i="3"/>
  <c r="F24" i="3" s="1"/>
  <c r="G35" i="3"/>
  <c r="F35" i="3" s="1"/>
  <c r="G54" i="3"/>
  <c r="F54" i="3" s="1"/>
  <c r="G22" i="3"/>
  <c r="F22" i="3" s="1"/>
  <c r="G53" i="3"/>
  <c r="H53" i="3" s="1"/>
  <c r="G46" i="3"/>
  <c r="G69" i="3"/>
  <c r="G66" i="3"/>
  <c r="F66" i="3" s="1"/>
  <c r="G29" i="3"/>
  <c r="F29" i="3" s="1"/>
  <c r="G39" i="3"/>
  <c r="G61" i="3"/>
  <c r="F61" i="3" s="1"/>
  <c r="G68" i="3"/>
  <c r="F68" i="3" s="1"/>
  <c r="G12" i="3"/>
  <c r="F12" i="3" s="1"/>
  <c r="G18" i="3"/>
  <c r="F18" i="3" s="1"/>
  <c r="G33" i="3"/>
  <c r="F33" i="3" s="1"/>
  <c r="G65" i="3"/>
  <c r="F65" i="3" s="1"/>
  <c r="G51" i="3"/>
  <c r="F51" i="3" s="1"/>
  <c r="G11" i="3"/>
  <c r="F11" i="3" s="1"/>
  <c r="G38" i="3"/>
  <c r="G17" i="3"/>
  <c r="F17" i="3" s="1"/>
  <c r="G25" i="3"/>
  <c r="F25" i="3" s="1"/>
  <c r="G67" i="3"/>
  <c r="F67" i="3" s="1"/>
  <c r="G59" i="3"/>
  <c r="G45" i="3"/>
  <c r="F45" i="3" s="1"/>
  <c r="G57" i="3"/>
  <c r="F57" i="3" s="1"/>
  <c r="G58" i="3"/>
  <c r="F58" i="3" s="1"/>
  <c r="G56" i="3"/>
  <c r="F56" i="3" s="1"/>
  <c r="G20" i="3"/>
  <c r="F20" i="3" s="1"/>
  <c r="G36" i="3"/>
  <c r="G49" i="3"/>
  <c r="H49" i="3" s="1"/>
  <c r="G48" i="3"/>
  <c r="F48" i="3" s="1"/>
  <c r="G42" i="3"/>
  <c r="F42" i="3" s="1"/>
  <c r="G31" i="3"/>
  <c r="F31" i="3" s="1"/>
  <c r="G9" i="3"/>
  <c r="F9" i="3" s="1"/>
  <c r="G28" i="3"/>
  <c r="G26" i="3"/>
  <c r="F26" i="3" s="1"/>
  <c r="G62" i="3"/>
  <c r="F62" i="3" s="1"/>
  <c r="G23" i="3"/>
  <c r="F23" i="3" s="1"/>
  <c r="G34" i="3"/>
  <c r="G50" i="3"/>
  <c r="F50" i="3" s="1"/>
  <c r="G55" i="3"/>
  <c r="F55" i="3" s="1"/>
  <c r="G40" i="3"/>
  <c r="F40" i="3" s="1"/>
  <c r="G44" i="3"/>
  <c r="F44" i="3" s="1"/>
  <c r="G64" i="3"/>
  <c r="F64" i="3" s="1"/>
  <c r="G41" i="3"/>
  <c r="F41" i="3" s="1"/>
  <c r="G16" i="3"/>
  <c r="F16" i="3" s="1"/>
  <c r="G60" i="3"/>
  <c r="H60" i="3" s="1"/>
  <c r="G10" i="3"/>
  <c r="F10" i="3" s="1"/>
  <c r="G37" i="3"/>
  <c r="G15" i="3"/>
  <c r="F15" i="3" s="1"/>
  <c r="G63" i="3"/>
  <c r="F63" i="3" s="1"/>
  <c r="G27" i="3"/>
  <c r="F27" i="3" s="1"/>
  <c r="G43" i="3"/>
  <c r="F43" i="3" s="1"/>
  <c r="G21" i="3"/>
  <c r="F21" i="3" s="1"/>
  <c r="F34" i="11" l="1"/>
  <c r="F59" i="3"/>
  <c r="H59" i="3"/>
  <c r="F52" i="3"/>
  <c r="H52" i="3"/>
  <c r="F36" i="3"/>
  <c r="H36" i="3"/>
  <c r="F33" i="11"/>
  <c r="F34" i="3"/>
  <c r="F37" i="3"/>
  <c r="H37" i="3"/>
  <c r="F39" i="3"/>
  <c r="H39" i="3"/>
  <c r="F53" i="3"/>
  <c r="F49" i="3"/>
  <c r="F69" i="3"/>
  <c r="H69" i="3"/>
  <c r="F60" i="3"/>
  <c r="F46" i="3"/>
  <c r="H46" i="3"/>
  <c r="F28" i="3"/>
  <c r="H28" i="3"/>
  <c r="F38" i="3"/>
  <c r="H67" i="3"/>
  <c r="H44" i="3"/>
  <c r="H54" i="3"/>
  <c r="H23" i="3"/>
  <c r="H35" i="3"/>
  <c r="H66" i="3"/>
  <c r="H41" i="3"/>
  <c r="H56" i="3"/>
  <c r="H68" i="3"/>
  <c r="H27" i="3"/>
  <c r="H26" i="3"/>
  <c r="H30" i="3"/>
  <c r="H47" i="3"/>
  <c r="H31" i="3"/>
  <c r="H40" i="3"/>
  <c r="H65" i="3"/>
  <c r="H33" i="3"/>
  <c r="H14" i="3"/>
  <c r="H50" i="3"/>
  <c r="H10" i="3"/>
  <c r="H17" i="3"/>
  <c r="H62" i="3"/>
  <c r="H20" i="3"/>
  <c r="H24" i="3"/>
  <c r="H43" i="3"/>
  <c r="H12" i="3"/>
  <c r="H8" i="3"/>
  <c r="H63" i="3"/>
  <c r="H58" i="3"/>
  <c r="H13" i="3"/>
  <c r="H42" i="3"/>
  <c r="H48" i="3"/>
  <c r="H51" i="3"/>
  <c r="H25" i="3"/>
  <c r="H22" i="3"/>
  <c r="H55" i="3"/>
  <c r="H19" i="3"/>
  <c r="H18" i="3"/>
  <c r="H21" i="3"/>
  <c r="H29" i="3"/>
  <c r="H64" i="3"/>
  <c r="H9" i="3"/>
  <c r="H57" i="3"/>
  <c r="H45" i="3"/>
  <c r="H11" i="3"/>
  <c r="H32" i="3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<sst xmlns="http://schemas.openxmlformats.org/spreadsheetml/2006/main" count="4775" uniqueCount="1329">
  <si>
    <t>Registre des habilitations : Conduite (CL ,CTR et CRMV)</t>
  </si>
  <si>
    <t>L'habilitation est valable pour une durée supérieure à un mois.</t>
  </si>
  <si>
    <t>✅</t>
  </si>
  <si>
    <t>L'habilitation est valable pour une durée inférieure à un mois.</t>
  </si>
  <si>
    <t>⚠️</t>
  </si>
  <si>
    <t xml:space="preserve"> L'habilitation est expirée.</t>
  </si>
  <si>
    <t>⛔️</t>
  </si>
  <si>
    <t>Collaborateur</t>
  </si>
  <si>
    <t>La validité de l'habilitation</t>
  </si>
  <si>
    <t>Âge</t>
  </si>
  <si>
    <t>Périmètre d'habilitation</t>
  </si>
  <si>
    <t>Aptitude physique (VM)</t>
  </si>
  <si>
    <t>Aptitude psychologique</t>
  </si>
  <si>
    <t>Aptitude Professionnelle</t>
  </si>
  <si>
    <t>Nom /Prénom</t>
  </si>
  <si>
    <t>Matricule</t>
  </si>
  <si>
    <t xml:space="preserve">Résidence	</t>
  </si>
  <si>
    <t>Date d'autorisation</t>
  </si>
  <si>
    <t xml:space="preserve">Validité </t>
  </si>
  <si>
    <t xml:space="preserve">Date d'expiration </t>
  </si>
  <si>
    <t xml:space="preserve">Motif  </t>
  </si>
  <si>
    <t>Date naissance</t>
  </si>
  <si>
    <t>Âge actuel</t>
  </si>
  <si>
    <t>Âge Fin 25</t>
  </si>
  <si>
    <t>Fonction</t>
  </si>
  <si>
    <t xml:space="preserve">Engin </t>
  </si>
  <si>
    <t xml:space="preserve">Ligne / Site </t>
  </si>
  <si>
    <t>Dernière  VM</t>
  </si>
  <si>
    <t xml:space="preserve">Résultat/Obs </t>
  </si>
  <si>
    <t>Âge_dernière VM</t>
  </si>
  <si>
    <t>Périodicité VM</t>
  </si>
  <si>
    <t xml:space="preserve">Date prochaine VM  </t>
  </si>
  <si>
    <t>Dernier Psy</t>
  </si>
  <si>
    <t>Résultat/Obs</t>
  </si>
  <si>
    <t xml:space="preserve">Âge_dernier Psy </t>
  </si>
  <si>
    <t>Périodicité  Psy</t>
  </si>
  <si>
    <t>Date prochain  Psy</t>
  </si>
  <si>
    <t>Dernière évaluation</t>
  </si>
  <si>
    <t>Résultat /Obs</t>
  </si>
  <si>
    <t>Date prochaine évaluation</t>
  </si>
  <si>
    <t>Colonne1</t>
  </si>
  <si>
    <t>Colonne2</t>
  </si>
  <si>
    <t>41360M</t>
  </si>
  <si>
    <t>Fès</t>
  </si>
  <si>
    <t>Conducteur de ligne</t>
  </si>
  <si>
    <t>E1450, E1400</t>
  </si>
  <si>
    <t>Fès - Tanger 
Fès - Casa Voyageurs</t>
  </si>
  <si>
    <t>Apte classe 1</t>
  </si>
  <si>
    <t>FAVORABLE MAINT</t>
  </si>
  <si>
    <t>43172W</t>
  </si>
  <si>
    <t>DH400, DH350</t>
  </si>
  <si>
    <t>Fès - Oujda</t>
  </si>
  <si>
    <t>38871A</t>
  </si>
  <si>
    <t>39979T</t>
  </si>
  <si>
    <t xml:space="preserve">ABDELMALEK ABOUBAKR </t>
  </si>
  <si>
    <t>42685P</t>
  </si>
  <si>
    <t>Kénitra</t>
  </si>
  <si>
    <t>E1450, E1400, E1300, E1250</t>
  </si>
  <si>
    <t>Casa-Kenitra, Casa-Tanger , Casa-Marrakech, Fès - Casa</t>
  </si>
  <si>
    <t>43168P</t>
  </si>
  <si>
    <t>Nador</t>
  </si>
  <si>
    <t>Fès - Beni Ansar</t>
  </si>
  <si>
    <t>35403X</t>
  </si>
  <si>
    <t>40703F</t>
  </si>
  <si>
    <t>AFIF YASSINE</t>
  </si>
  <si>
    <t>45395R</t>
  </si>
  <si>
    <t>38759R</t>
  </si>
  <si>
    <t>ALIKY LAHCEN</t>
  </si>
  <si>
    <t>42690X</t>
  </si>
  <si>
    <t>Z2M, E1300, E1250, E1400, E1450</t>
  </si>
  <si>
    <t>ASDA NOUREDDINE</t>
  </si>
  <si>
    <t>44775D</t>
  </si>
  <si>
    <t>E1450, E1400, Z2M</t>
  </si>
  <si>
    <t>Fès - Casa, Casa-Kenitra, Casa-Tanger , Casa-Marrakech, Casa-Eljadida</t>
  </si>
  <si>
    <t>AYATE OUTMANE</t>
  </si>
  <si>
    <t>43692N</t>
  </si>
  <si>
    <t>AZEROUAL BRAHIM</t>
  </si>
  <si>
    <t>44295G</t>
  </si>
  <si>
    <t>BELHAOUZI ALAE EDDINE</t>
  </si>
  <si>
    <t>43417L</t>
  </si>
  <si>
    <t>Z2M</t>
  </si>
  <si>
    <t>Casa-Kenitra</t>
  </si>
  <si>
    <t>NEANT</t>
  </si>
  <si>
    <t>BENHIDA KHALIL</t>
  </si>
  <si>
    <t>43992X</t>
  </si>
  <si>
    <t>ENCADRANT DE CONDUITE</t>
  </si>
  <si>
    <t>Z2M, E1400, E1450</t>
  </si>
  <si>
    <t>BILOUL MOHAMED</t>
  </si>
  <si>
    <t>45022Y</t>
  </si>
  <si>
    <t>85748F</t>
  </si>
  <si>
    <t>42094L</t>
  </si>
  <si>
    <t>43710K</t>
  </si>
  <si>
    <t>BOUSSOUAR ANASS</t>
  </si>
  <si>
    <t>45277B</t>
  </si>
  <si>
    <t>42957N</t>
  </si>
  <si>
    <t>85552Y</t>
  </si>
  <si>
    <t>CHAOUI OUSSAMA</t>
  </si>
  <si>
    <t>45024A</t>
  </si>
  <si>
    <t>CHOULI SOUFIANE</t>
  </si>
  <si>
    <t>44007N</t>
  </si>
  <si>
    <t>CHTIOUI AZIZ</t>
  </si>
  <si>
    <t>43722A</t>
  </si>
  <si>
    <t>DAHANI MOHAMMED</t>
  </si>
  <si>
    <t>43018L</t>
  </si>
  <si>
    <t>E1450, E1400, Z2M, E1300, E1250</t>
  </si>
  <si>
    <t>DAHBI SALAH EDDINE</t>
  </si>
  <si>
    <t>43701A</t>
  </si>
  <si>
    <t>42956M</t>
  </si>
  <si>
    <t>38176Y</t>
  </si>
  <si>
    <t>COA</t>
  </si>
  <si>
    <t>39498X</t>
  </si>
  <si>
    <t>39563Z</t>
  </si>
  <si>
    <t>DIDI YOUNES</t>
  </si>
  <si>
    <t>43406Z</t>
  </si>
  <si>
    <t>85587N</t>
  </si>
  <si>
    <t>ECHOUIREF MOHAMMED</t>
  </si>
  <si>
    <t>42691Y</t>
  </si>
  <si>
    <t>43703C</t>
  </si>
  <si>
    <t>43682C</t>
  </si>
  <si>
    <t>42412P</t>
  </si>
  <si>
    <t>43708H</t>
  </si>
  <si>
    <t>43169R</t>
  </si>
  <si>
    <t>EL BOUNI ANAS</t>
  </si>
  <si>
    <t>42413R</t>
  </si>
  <si>
    <t>38177Z</t>
  </si>
  <si>
    <t>43716S</t>
  </si>
  <si>
    <t>EL FAID KHALID</t>
  </si>
  <si>
    <t>45280E</t>
  </si>
  <si>
    <t>E1400, E1450</t>
  </si>
  <si>
    <t>EL FILALI LAMDAGHRI SOUFIANE</t>
  </si>
  <si>
    <t>43993Y</t>
  </si>
  <si>
    <t>E1450, E1400, E1250, E1300</t>
  </si>
  <si>
    <t>EL HAJJI HICHAM</t>
  </si>
  <si>
    <t>43163J</t>
  </si>
  <si>
    <t>EL MILAOUI AYOUB</t>
  </si>
  <si>
    <t>43999E</t>
  </si>
  <si>
    <t>ELHIMER TAREK</t>
  </si>
  <si>
    <t>45026C</t>
  </si>
  <si>
    <t>ENNSEIRI ILIASS</t>
  </si>
  <si>
    <t>43902N</t>
  </si>
  <si>
    <t>ESSAADAOUI ABDELJALIL</t>
  </si>
  <si>
    <t>44783M</t>
  </si>
  <si>
    <t>FERKOUKI OMAR</t>
  </si>
  <si>
    <t>45031H</t>
  </si>
  <si>
    <t>ZEGMOU MUSTAPHA</t>
  </si>
  <si>
    <t>40589W</t>
  </si>
  <si>
    <t>RETRAITE</t>
  </si>
  <si>
    <t>ZARHOUNI DRISS</t>
  </si>
  <si>
    <t>85642E</t>
  </si>
  <si>
    <t>RACHAD EL KHALIL</t>
  </si>
  <si>
    <t>85436J</t>
  </si>
  <si>
    <t>LAAROUBI YOUSSEF</t>
  </si>
  <si>
    <t>40614A</t>
  </si>
  <si>
    <t>43714P</t>
  </si>
  <si>
    <t>EL KHADIR ABDELKADER</t>
  </si>
  <si>
    <t>85586M</t>
  </si>
  <si>
    <t>Néant</t>
  </si>
  <si>
    <t>GATRA MOHAMED</t>
  </si>
  <si>
    <t>45400Y</t>
  </si>
  <si>
    <t>43694R</t>
  </si>
  <si>
    <t>CHRAIT MUSTAPHA</t>
  </si>
  <si>
    <t>85517F</t>
  </si>
  <si>
    <t>IOUNOUSSE OMAR</t>
  </si>
  <si>
    <t>44788T</t>
  </si>
  <si>
    <t>CHAHED MOHAMED LARBI</t>
  </si>
  <si>
    <t>85563K</t>
  </si>
  <si>
    <t>42938R</t>
  </si>
  <si>
    <t>BENAASI MOHAMMED</t>
  </si>
  <si>
    <t>85469Z</t>
  </si>
  <si>
    <t>JDIRA AYYOUB</t>
  </si>
  <si>
    <t>42268T</t>
  </si>
  <si>
    <t>BELOUARRAT BENDAOUD</t>
  </si>
  <si>
    <t>85584K</t>
  </si>
  <si>
    <t>Z2M, E1300, E1250, DH400, DH350, E1400, E1450</t>
  </si>
  <si>
    <t>ARROUB SAID</t>
  </si>
  <si>
    <t>38023P</t>
  </si>
  <si>
    <t>E1400, E1450, E1300, E1250</t>
  </si>
  <si>
    <t>KANDROUCH MOHAMMED</t>
  </si>
  <si>
    <t>45283H</t>
  </si>
  <si>
    <t>42418Y</t>
  </si>
  <si>
    <t>KHRIBECHE YASSINE</t>
  </si>
  <si>
    <t>42267S</t>
  </si>
  <si>
    <t>MALAOUI ABDELGHANI</t>
  </si>
  <si>
    <t>85505R</t>
  </si>
  <si>
    <t>LAMHASNI AHMED</t>
  </si>
  <si>
    <t>85718W</t>
  </si>
  <si>
    <t>KACIMI MOHAMMED</t>
  </si>
  <si>
    <t>85280Z</t>
  </si>
  <si>
    <t>43994Z</t>
  </si>
  <si>
    <t>MARMOUCH ADIL</t>
  </si>
  <si>
    <t>85509X</t>
  </si>
  <si>
    <t>E1450, E1400, Z2M, E1300, E1250, DH400, DH350</t>
  </si>
  <si>
    <t>MOUADINE AYOUB</t>
  </si>
  <si>
    <t>44790X</t>
  </si>
  <si>
    <t>44792Z</t>
  </si>
  <si>
    <t>42688T</t>
  </si>
  <si>
    <t>EL BOURI MUSTAPHA</t>
  </si>
  <si>
    <t>85433F</t>
  </si>
  <si>
    <t>EL BACHIRI MUSTAPHA</t>
  </si>
  <si>
    <t>85634W</t>
  </si>
  <si>
    <t>EL AMRANI MOHAMED</t>
  </si>
  <si>
    <t>85696T</t>
  </si>
  <si>
    <t>OUDA MOHCINE</t>
  </si>
  <si>
    <t>45401Z</t>
  </si>
  <si>
    <t>42935M</t>
  </si>
  <si>
    <t>BENKHRIF KARIM</t>
  </si>
  <si>
    <t>85521K</t>
  </si>
  <si>
    <t>ABOUS HASSAN</t>
  </si>
  <si>
    <t>85301Z</t>
  </si>
  <si>
    <t>EL ATTAL RADOUANE</t>
  </si>
  <si>
    <t>85440N</t>
  </si>
  <si>
    <t>SALDANI RACHID</t>
  </si>
  <si>
    <t>85292M</t>
  </si>
  <si>
    <t>42936N</t>
  </si>
  <si>
    <t>SALMAOUI ABDELHADI</t>
  </si>
  <si>
    <t>44287Y</t>
  </si>
  <si>
    <t>SEHNANI ABDERRAHMANE</t>
  </si>
  <si>
    <t>46277R</t>
  </si>
  <si>
    <t>43704D</t>
  </si>
  <si>
    <t>MEZOUARA NOUR EDDINE</t>
  </si>
  <si>
    <t>85631R</t>
  </si>
  <si>
    <t>TABIAT AYOUB</t>
  </si>
  <si>
    <t>43974A</t>
  </si>
  <si>
    <t>E1400, E1450, Z2M</t>
  </si>
  <si>
    <t>Fès - Casa, Casa-Kenitra, Casa-Marrakech, Casa-Tanger , Casa-Eljadida</t>
  </si>
  <si>
    <t>YAKOUBI MOHAMMED</t>
  </si>
  <si>
    <t>42422C</t>
  </si>
  <si>
    <t>ELALAOUI RACHID</t>
  </si>
  <si>
    <t>85635X</t>
  </si>
  <si>
    <t>44796D</t>
  </si>
  <si>
    <t>ZAALIT SAID</t>
  </si>
  <si>
    <t>43553Z</t>
  </si>
  <si>
    <t>43171T</t>
  </si>
  <si>
    <t>42960S</t>
  </si>
  <si>
    <t>AIT TAL ABED</t>
  </si>
  <si>
    <t>41184D</t>
  </si>
  <si>
    <t>Z2M, E1400, E1450, DH400, E1250, E1300</t>
  </si>
  <si>
    <t xml:space="preserve">Chef de Train </t>
  </si>
  <si>
    <t>85820R</t>
  </si>
  <si>
    <t>85822T</t>
  </si>
  <si>
    <t>38764Y</t>
  </si>
  <si>
    <t>85819P</t>
  </si>
  <si>
    <t>85774L</t>
  </si>
  <si>
    <t>E1450, E1400
DH400, DH350</t>
  </si>
  <si>
    <t>85823W</t>
  </si>
  <si>
    <t>ENNAJM Mohammed Ali</t>
  </si>
  <si>
    <t>46491X</t>
  </si>
  <si>
    <t>Kenitra</t>
  </si>
  <si>
    <t>85726E</t>
  </si>
  <si>
    <t>85821S</t>
  </si>
  <si>
    <t>85826Z</t>
  </si>
  <si>
    <t>85745C</t>
  </si>
  <si>
    <t>40743D</t>
  </si>
  <si>
    <t>KOUAT ELMEHDI</t>
  </si>
  <si>
    <t>46254N</t>
  </si>
  <si>
    <t>AMMARAT HAMZA</t>
  </si>
  <si>
    <t>46245D</t>
  </si>
  <si>
    <t>kenitra</t>
  </si>
  <si>
    <t>KHARBOUCH AYOUB</t>
  </si>
  <si>
    <t>46253M</t>
  </si>
  <si>
    <t>85768E</t>
  </si>
  <si>
    <t>85775M</t>
  </si>
  <si>
    <t>33851Z</t>
  </si>
  <si>
    <t>45836R</t>
  </si>
  <si>
    <t>45885A</t>
  </si>
  <si>
    <t>45839W</t>
  </si>
  <si>
    <t>RADOUANE MAROUANE</t>
  </si>
  <si>
    <t>45894K</t>
  </si>
  <si>
    <t>Fès - Casa, Casa-Kenitra, Casa-Tanger , Casa-Marrakech</t>
  </si>
  <si>
    <t>33859H</t>
  </si>
  <si>
    <t>IBNO-EL FATA YASSINE</t>
  </si>
  <si>
    <t>45870G</t>
  </si>
  <si>
    <t>FARID ADIL</t>
  </si>
  <si>
    <t>85655W</t>
  </si>
  <si>
    <t>ER-ROUIAH KHALID</t>
  </si>
  <si>
    <t>85518G</t>
  </si>
  <si>
    <t>EL OTMANI ACHRAF</t>
  </si>
  <si>
    <t>45855N</t>
  </si>
  <si>
    <t>EL MITARI MOURAD</t>
  </si>
  <si>
    <t>41400K</t>
  </si>
  <si>
    <t>EL KHAYATI MOHAMMED</t>
  </si>
  <si>
    <t>45854M</t>
  </si>
  <si>
    <t>EL KARTI AYOUB</t>
  </si>
  <si>
    <t>46485N</t>
  </si>
  <si>
    <t>EL BACHA SOUFIANE</t>
  </si>
  <si>
    <t>46959D</t>
  </si>
  <si>
    <t>CHKHACHKHI BADR</t>
  </si>
  <si>
    <t>45397T</t>
  </si>
  <si>
    <t>CHAMI OMAR</t>
  </si>
  <si>
    <t>40597E</t>
  </si>
  <si>
    <t>BELHAJ ELYAZID</t>
  </si>
  <si>
    <t>46819L</t>
  </si>
  <si>
    <t>BAKAOUI MOURAD</t>
  </si>
  <si>
    <t>85536D</t>
  </si>
  <si>
    <t>BADRI HICHAM</t>
  </si>
  <si>
    <t>46468T</t>
  </si>
  <si>
    <t>AKARBACH LAHCEN</t>
  </si>
  <si>
    <t>85499J</t>
  </si>
  <si>
    <t>AIT FARESS SMAIL</t>
  </si>
  <si>
    <t>42427H</t>
  </si>
  <si>
    <t>YASSINE HASSAN</t>
  </si>
  <si>
    <t>40660E</t>
  </si>
  <si>
    <t>SIBARI MOHAMED</t>
  </si>
  <si>
    <t>85608N</t>
  </si>
  <si>
    <t>MHAOUACH KAMAL</t>
  </si>
  <si>
    <t>85641D</t>
  </si>
  <si>
    <t>LOUTFI EL MEHDI</t>
  </si>
  <si>
    <t>45042X</t>
  </si>
  <si>
    <t>LHARTICH HASSAN</t>
  </si>
  <si>
    <t>39844H</t>
  </si>
  <si>
    <t>HANNA NADIR</t>
  </si>
  <si>
    <t>46496C</t>
  </si>
  <si>
    <t>HAMMAL SAID</t>
  </si>
  <si>
    <t>45048D</t>
  </si>
  <si>
    <t xml:space="preserve"> </t>
  </si>
  <si>
    <t>ERRAJI SOUHAYLA</t>
  </si>
  <si>
    <t>47225W</t>
  </si>
  <si>
    <t>EL YASSIFI LYAZID</t>
  </si>
  <si>
    <t>47265S</t>
  </si>
  <si>
    <t>ZRILLA ABDELAZIZ</t>
  </si>
  <si>
    <t>47268X</t>
  </si>
  <si>
    <t>ARAB ZAKARIA</t>
  </si>
  <si>
    <t>47205X</t>
  </si>
  <si>
    <t>GUENDAF HANANE</t>
  </si>
  <si>
    <t>47230B</t>
  </si>
  <si>
    <t>inapte + poste sedentaire 3 mois a partir du 12/12/2025 grossesse</t>
  </si>
  <si>
    <t>KARTI  KHADIJA</t>
  </si>
  <si>
    <t>47238K</t>
  </si>
  <si>
    <t>GOTTI SALAH-EDDINE</t>
  </si>
  <si>
    <t>45554F</t>
  </si>
  <si>
    <t>ELFANDI OMAR</t>
  </si>
  <si>
    <t>45857R</t>
  </si>
  <si>
    <t>EL BAKKOUCH M'HAMMED</t>
  </si>
  <si>
    <t>45850H</t>
  </si>
  <si>
    <t>CHELHANI EL MEHDI</t>
  </si>
  <si>
    <t>45844B</t>
  </si>
  <si>
    <t>CHAKHCH YOUSSEF</t>
  </si>
  <si>
    <t>46593S</t>
  </si>
  <si>
    <t>BERHOUMI YOUSSEF</t>
  </si>
  <si>
    <t>46955Z</t>
  </si>
  <si>
    <t>Casa-Marrakech, Casa-Kenitra, Casa-Tanger , Fès - Casa</t>
  </si>
  <si>
    <t>34794X</t>
  </si>
  <si>
    <t>AMAMMOUR MOHAMED</t>
  </si>
  <si>
    <t>46465P</t>
  </si>
  <si>
    <t>MAHASSINE OTHMANE</t>
  </si>
  <si>
    <t>47091K</t>
  </si>
  <si>
    <t>LHARTICH LAHCEN</t>
  </si>
  <si>
    <t>40802Z</t>
  </si>
  <si>
    <t>Fès - Casa, Casa-Kenitra, Casa-Eljadida, Casa-Marrakech</t>
  </si>
  <si>
    <t>KAROUA ABDOLMONAIM</t>
  </si>
  <si>
    <t>45875M</t>
  </si>
  <si>
    <t>HENTAR AMIN</t>
  </si>
  <si>
    <t>46601C</t>
  </si>
  <si>
    <t>ELBARAKA BADREDDIN</t>
  </si>
  <si>
    <t>85807B</t>
  </si>
  <si>
    <t>EL HASSANI HAMZA</t>
  </si>
  <si>
    <t>45549A</t>
  </si>
  <si>
    <t>HDI HAMZA</t>
  </si>
  <si>
    <t>47234F</t>
  </si>
  <si>
    <t>EL AHNAF KHALID</t>
  </si>
  <si>
    <t>40865Z</t>
  </si>
  <si>
    <t>AIT BAHAALI EL MEHDI</t>
  </si>
  <si>
    <t>47202S</t>
  </si>
  <si>
    <t>KMIRA CHAIMAE</t>
  </si>
  <si>
    <t>47240M</t>
  </si>
  <si>
    <t>35448A</t>
  </si>
  <si>
    <t>HAMAMOU RAOUIA</t>
  </si>
  <si>
    <t>47235G</t>
  </si>
  <si>
    <t>DENNOUN YOUNES</t>
  </si>
  <si>
    <t>45846D</t>
  </si>
  <si>
    <t>35409D</t>
  </si>
  <si>
    <t>CHEMSY OUSSAMA</t>
  </si>
  <si>
    <t>46477E</t>
  </si>
  <si>
    <t>EN DOUBLE CTR</t>
  </si>
  <si>
    <t>BOUNADI EL MEHDI</t>
  </si>
  <si>
    <t>46839K</t>
  </si>
  <si>
    <t>BOUFTAT ABDELAALI</t>
  </si>
  <si>
    <t>46474B</t>
  </si>
  <si>
    <t>BENZIANE BRAHIM</t>
  </si>
  <si>
    <t>85810E</t>
  </si>
  <si>
    <t>BARDAOUI AZEDDINE</t>
  </si>
  <si>
    <t>45835P</t>
  </si>
  <si>
    <t>AZROUR AMINE</t>
  </si>
  <si>
    <t>45833M</t>
  </si>
  <si>
    <t>AIT BEREN MOUATASSIM</t>
  </si>
  <si>
    <t>45020W</t>
  </si>
  <si>
    <t>ADNY KHALID</t>
  </si>
  <si>
    <t>37806G</t>
  </si>
  <si>
    <t>45891G</t>
  </si>
  <si>
    <t>45893J</t>
  </si>
  <si>
    <t>Conducteur de Manœuvre</t>
  </si>
  <si>
    <t>38181D</t>
  </si>
  <si>
    <t>45845C</t>
  </si>
  <si>
    <t>45869F</t>
  </si>
  <si>
    <t>EL OMARI OTHMANE</t>
  </si>
  <si>
    <t>46486P</t>
  </si>
  <si>
    <t>E1450.E1400.Z2M.DM600.DH400.DH350</t>
  </si>
  <si>
    <t xml:space="preserve">Site Voyageurs Kénitra </t>
  </si>
  <si>
    <t>HOUBATE ABDELHAKIM</t>
  </si>
  <si>
    <t>46500G</t>
  </si>
  <si>
    <t>EL HADDAOUY EL MEHDI</t>
  </si>
  <si>
    <t>46489T</t>
  </si>
  <si>
    <t>ZAIMI OUASSIM</t>
  </si>
  <si>
    <t>46512X</t>
  </si>
  <si>
    <t>HAOUTI ABDERRAHMANE</t>
  </si>
  <si>
    <t>46251K</t>
  </si>
  <si>
    <t>ZHAR FAICAL</t>
  </si>
  <si>
    <t>45899R</t>
  </si>
  <si>
    <t>ELKANNEB MOHAMMED</t>
  </si>
  <si>
    <t>45858S</t>
  </si>
  <si>
    <t>BENCHLAIT YOUNESS</t>
  </si>
  <si>
    <t>43991W</t>
  </si>
  <si>
    <t>SABIHI MAROUENE</t>
  </si>
  <si>
    <t>47258J</t>
  </si>
  <si>
    <t>OUHSAINE MOUAD</t>
  </si>
  <si>
    <t>47252C</t>
  </si>
  <si>
    <t>BAHTAT BOUCHRA</t>
  </si>
  <si>
    <t>47602T</t>
  </si>
  <si>
    <t>BEDDIAF  IMANE</t>
  </si>
  <si>
    <t>47604X</t>
  </si>
  <si>
    <t>DOUICHE HAMZA</t>
  </si>
  <si>
    <t>47609C</t>
  </si>
  <si>
    <t>MOUSTADRAF MOHAMMED ILYAS</t>
  </si>
  <si>
    <t>47631D</t>
  </si>
  <si>
    <t>EL AOMARI ABDELMOUGHITE</t>
  </si>
  <si>
    <t>45848F</t>
  </si>
  <si>
    <t xml:space="preserve">E1450.E1400 </t>
  </si>
  <si>
    <t>Fès - Casa, Casa-Tanger , Casa-Marrakech</t>
  </si>
  <si>
    <t>BARI MOHAMED</t>
  </si>
  <si>
    <t>46204E</t>
  </si>
  <si>
    <t>Z2M, DH400, DH350, E1400, E1450</t>
  </si>
  <si>
    <t>ELMOUSSAOUI ABDELKARIM</t>
  </si>
  <si>
    <t>85498H</t>
  </si>
  <si>
    <t xml:space="preserve">DH 400 , DH 350 , Z2M </t>
  </si>
  <si>
    <t>LAADSI ILIAS</t>
  </si>
  <si>
    <t xml:space="preserve">43971X </t>
  </si>
  <si>
    <t>TARCHOUNE MARZAK</t>
  </si>
  <si>
    <t>85852E</t>
  </si>
  <si>
    <t>MAAKOUL NAJIB</t>
  </si>
  <si>
    <t>85844W</t>
  </si>
  <si>
    <t>TAMNTE HAMZA</t>
  </si>
  <si>
    <t>85859M</t>
  </si>
  <si>
    <t>Registre des habilitations : Formation (CFT, DFT et EFT)</t>
  </si>
  <si>
    <t xml:space="preserve">Date d'autorisation </t>
  </si>
  <si>
    <t xml:space="preserve">type de matériel </t>
  </si>
  <si>
    <t xml:space="preserve">Site </t>
  </si>
  <si>
    <t>Chef Formation Trains</t>
  </si>
  <si>
    <t>Matériel à Voyageurs</t>
  </si>
  <si>
    <t>Apte classe 2</t>
  </si>
  <si>
    <t>44011T</t>
  </si>
  <si>
    <t>85577C</t>
  </si>
  <si>
    <t>45558K</t>
  </si>
  <si>
    <t>85700Z</t>
  </si>
  <si>
    <t xml:space="preserve">Oujda </t>
  </si>
  <si>
    <t>Encadrant Formation Trains</t>
  </si>
  <si>
    <t>43970W</t>
  </si>
  <si>
    <t>42542W</t>
  </si>
  <si>
    <t xml:space="preserve">Neant </t>
  </si>
  <si>
    <t>44003J</t>
  </si>
  <si>
    <t>EL AMRAOUI MOHAMMED</t>
  </si>
  <si>
    <t>38008Y</t>
  </si>
  <si>
    <t>ZERIOUH MOHAMED</t>
  </si>
  <si>
    <t>44004K</t>
  </si>
  <si>
    <t>38379N</t>
  </si>
  <si>
    <t>OUGUI HAMZA</t>
  </si>
  <si>
    <t>45892H</t>
  </si>
  <si>
    <t>LAABABID ABDELAALIM</t>
  </si>
  <si>
    <t>46823R</t>
  </si>
  <si>
    <t>EL KHALFAOUI AYOUB</t>
  </si>
  <si>
    <t>47614H</t>
  </si>
  <si>
    <t>JAMALI MOHAMMED</t>
  </si>
  <si>
    <t>47622S</t>
  </si>
  <si>
    <t>47607A</t>
  </si>
  <si>
    <t>CHTIOUI MOHAMMED</t>
  </si>
  <si>
    <t>44867M</t>
  </si>
  <si>
    <t>DOUDOU RIDOUANE</t>
  </si>
  <si>
    <t>44869P</t>
  </si>
  <si>
    <t>E1450.E1400.Z2M.DM600.DH400.DH351</t>
  </si>
  <si>
    <t>EL OUEDRHIRI ACHRAF</t>
  </si>
  <si>
    <t>46960E</t>
  </si>
  <si>
    <t>EL YAQINE ZAKARIA</t>
  </si>
  <si>
    <t xml:space="preserve">Registre des habilitations : CGPx Conduite </t>
  </si>
  <si>
    <t>Passage au simulateur</t>
  </si>
  <si>
    <t>Heures de conduite en tant que CL</t>
  </si>
  <si>
    <t>Ligne</t>
  </si>
  <si>
    <t>Dernière VM</t>
  </si>
  <si>
    <t>Dernier passage</t>
  </si>
  <si>
    <t>Prochain passage</t>
  </si>
  <si>
    <t>Total des heures de conduite au 31/12/2024</t>
  </si>
  <si>
    <t>Total des heures de conduite au 31/03/2025</t>
  </si>
  <si>
    <t>Total des heures de conduite au 30/06/2025</t>
  </si>
  <si>
    <t>Total des heures de conduite au 30/09/2025</t>
  </si>
  <si>
    <t>Total des heures de conduite au 31/12/2025</t>
  </si>
  <si>
    <t>RJEB MOHAMMED</t>
  </si>
  <si>
    <t>40920N</t>
  </si>
  <si>
    <t xml:space="preserve">Encadrant Conduite Train </t>
  </si>
  <si>
    <t>E1450, E1400,E1250,E1300,DH400, DH350</t>
  </si>
  <si>
    <t>Réussi</t>
  </si>
  <si>
    <t>78 heures</t>
  </si>
  <si>
    <t>11h17min</t>
  </si>
  <si>
    <t>LAMGHARI BELKACEM</t>
  </si>
  <si>
    <t>41655N</t>
  </si>
  <si>
    <t>BOUICHTAT DRISS</t>
  </si>
  <si>
    <t>41667D</t>
  </si>
  <si>
    <t>Date d'autorisation à la fonction</t>
  </si>
  <si>
    <t>220 heures</t>
  </si>
  <si>
    <t>25h46min</t>
  </si>
  <si>
    <t>TAYBI TAYEB</t>
  </si>
  <si>
    <t>42140R</t>
  </si>
  <si>
    <t>89 heures</t>
  </si>
  <si>
    <t>18h21min</t>
  </si>
  <si>
    <t>BENSAID AHMED</t>
  </si>
  <si>
    <t>42147A</t>
  </si>
  <si>
    <t>99 heures</t>
  </si>
  <si>
    <t>11h05min</t>
  </si>
  <si>
    <t>BARBACH ABDELKARIM</t>
  </si>
  <si>
    <t>42407J</t>
  </si>
  <si>
    <t>17h03min</t>
  </si>
  <si>
    <t>MAGOURI ABD-EL-ILAH</t>
  </si>
  <si>
    <t>42419Z</t>
  </si>
  <si>
    <t>126 heures</t>
  </si>
  <si>
    <t>20h41min</t>
  </si>
  <si>
    <t>HARFI OMAR</t>
  </si>
  <si>
    <t>47458Y</t>
  </si>
  <si>
    <t xml:space="preserve">Chargé de Traction </t>
  </si>
  <si>
    <t>Fès - Casa
Casa-Tanger</t>
  </si>
  <si>
    <t>nouvellement autorisé</t>
  </si>
  <si>
    <t>BOUBAGRA Amar</t>
  </si>
  <si>
    <t>43160F</t>
  </si>
  <si>
    <t>23h56min</t>
  </si>
  <si>
    <t>HOUARI Fouad</t>
  </si>
  <si>
    <t>43162H</t>
  </si>
  <si>
    <t>13h</t>
  </si>
  <si>
    <t>ZIACH Soufiane</t>
  </si>
  <si>
    <t>43183H</t>
  </si>
  <si>
    <t>19h44min</t>
  </si>
  <si>
    <t>BCHI MOUAD</t>
  </si>
  <si>
    <t>43848A</t>
  </si>
  <si>
    <t xml:space="preserve">Kénitra </t>
  </si>
  <si>
    <t>Fès - Casa
Casa-Kenitra
Casa-Tanger
Casa-Marrakech
Casa-Eljadida</t>
  </si>
  <si>
    <t>60 heures</t>
  </si>
  <si>
    <t>10h50</t>
  </si>
  <si>
    <t>36h35</t>
  </si>
  <si>
    <t>BOUCHAMA MOUNTASSIR</t>
  </si>
  <si>
    <t>43511Z</t>
  </si>
  <si>
    <t>Z2M, E1300, E1250, E1400, E1450
DH400, DH350</t>
  </si>
  <si>
    <t>7h50</t>
  </si>
  <si>
    <t>37h31</t>
  </si>
  <si>
    <t>DEROUICHE MEHDI</t>
  </si>
  <si>
    <t>44563B</t>
  </si>
  <si>
    <t>APTE CLASSE 1 rendez vous le 12/12/2026</t>
  </si>
  <si>
    <t>134 heures</t>
  </si>
  <si>
    <t>16 heures</t>
  </si>
  <si>
    <t>32h33</t>
  </si>
  <si>
    <t>KRIBEL AYYOUB</t>
  </si>
  <si>
    <t>45381A</t>
  </si>
  <si>
    <t>153 heures</t>
  </si>
  <si>
    <t>9 heures</t>
  </si>
  <si>
    <t>65h06</t>
  </si>
  <si>
    <t>TRIOUAT EL YAZID</t>
  </si>
  <si>
    <t>42940T</t>
  </si>
  <si>
    <t>85 heures</t>
  </si>
  <si>
    <t>17 heures</t>
  </si>
  <si>
    <t>52h03</t>
  </si>
  <si>
    <t>RITEB HAMZA</t>
  </si>
  <si>
    <t>47457X</t>
  </si>
  <si>
    <t>Z2M,E1400, E1450</t>
  </si>
  <si>
    <t>Fès - Casa
Casa-Kenitra
Casa-Tanger
Casa-Marrakech</t>
  </si>
  <si>
    <t>5 heures</t>
  </si>
  <si>
    <t>HAMDANE AHMED</t>
  </si>
  <si>
    <t>42693A</t>
  </si>
  <si>
    <t>5h50</t>
  </si>
  <si>
    <t>27h3</t>
  </si>
  <si>
    <t>EL FAKIR MOHAMED</t>
  </si>
  <si>
    <t>42134J</t>
  </si>
  <si>
    <t>AZRAF MOHAMED</t>
  </si>
  <si>
    <t>42406H</t>
  </si>
  <si>
    <t>30h26min</t>
  </si>
  <si>
    <t>HARNOUFI Abdelmajid</t>
  </si>
  <si>
    <t>43516E</t>
  </si>
  <si>
    <t>32 heures</t>
  </si>
  <si>
    <t>31h02min</t>
  </si>
  <si>
    <t>YAHYA ABDELLAH</t>
  </si>
  <si>
    <t>42138N</t>
  </si>
  <si>
    <t>11h34min</t>
  </si>
  <si>
    <t>BENGUEMRA FATH ALLAH</t>
  </si>
  <si>
    <t>42409L</t>
  </si>
  <si>
    <t>11h09min</t>
  </si>
  <si>
    <t>NAJIM ELMOKHTAR</t>
  </si>
  <si>
    <t>42697E</t>
  </si>
  <si>
    <t>53 heures</t>
  </si>
  <si>
    <t>05h45min</t>
  </si>
  <si>
    <t>RACHIDI BOUBKER</t>
  </si>
  <si>
    <t>43175Z</t>
  </si>
  <si>
    <t>BEN ABOU ABDELMOUNIM</t>
  </si>
  <si>
    <t>43977D</t>
  </si>
  <si>
    <t>E1450, E1400, Z2M, DH400</t>
  </si>
  <si>
    <t>ESSARSARI ZAKARIA</t>
  </si>
  <si>
    <t>43975B</t>
  </si>
  <si>
    <t>MATRICULE</t>
  </si>
  <si>
    <t>NOM</t>
  </si>
  <si>
    <t>PRENOM</t>
  </si>
  <si>
    <t>RESIDENCE</t>
  </si>
  <si>
    <t>CENTRE EXAMEN</t>
  </si>
  <si>
    <t>CLASSE DE SECURITE</t>
  </si>
  <si>
    <t>DATE PREVUE</t>
  </si>
  <si>
    <t>NATURE EXAMEN</t>
  </si>
  <si>
    <t>43379R</t>
  </si>
  <si>
    <t>ELMELHAOUY</t>
  </si>
  <si>
    <t>YASSINE</t>
  </si>
  <si>
    <t>CENTRE OPERATIONNEL ACTIVITES</t>
  </si>
  <si>
    <t>RABAT</t>
  </si>
  <si>
    <t>1</t>
  </si>
  <si>
    <t>MAINTIEN</t>
  </si>
  <si>
    <t>40333P</t>
  </si>
  <si>
    <t>LIYAM</t>
  </si>
  <si>
    <t>HICHAM</t>
  </si>
  <si>
    <t>ANTENNE CONDUITE ET FORMATION PROXIMITE CASA PORT</t>
  </si>
  <si>
    <t>CASA VOYAGEURS</t>
  </si>
  <si>
    <t>42694B</t>
  </si>
  <si>
    <t>AMRAOUI</t>
  </si>
  <si>
    <t>M'HAMMED</t>
  </si>
  <si>
    <t>ANTENNE CONDUITE ET FORMATION TC CASA VOYAGEURS</t>
  </si>
  <si>
    <t>40355R</t>
  </si>
  <si>
    <t>JOURYOU</t>
  </si>
  <si>
    <t>BOUCHAIB</t>
  </si>
  <si>
    <t>ANTENNE CONDUITE ET FORMATION GV TANGER</t>
  </si>
  <si>
    <t>37804E</t>
  </si>
  <si>
    <t>ABOUNAIMA</t>
  </si>
  <si>
    <t>MOURAD</t>
  </si>
  <si>
    <t>ANTENNE CONDUITE ET FORMATION TC TANGER</t>
  </si>
  <si>
    <t>85497G</t>
  </si>
  <si>
    <t>RAHIMI</t>
  </si>
  <si>
    <t>MOHAMED</t>
  </si>
  <si>
    <t>BELAIDENE</t>
  </si>
  <si>
    <t>EL JILALI</t>
  </si>
  <si>
    <t>ANTENNE CONDUITE ET FORMATION TC OUJDA</t>
  </si>
  <si>
    <t>85698X</t>
  </si>
  <si>
    <t>ABDI</t>
  </si>
  <si>
    <t>KAMAL</t>
  </si>
  <si>
    <t>2</t>
  </si>
  <si>
    <t>MALLAKH</t>
  </si>
  <si>
    <t>MOUNIR</t>
  </si>
  <si>
    <t>ANTENNE CONDUITE ET FORMATION TC FES</t>
  </si>
  <si>
    <t>TAMMOUKH</t>
  </si>
  <si>
    <t>ABDERRAHIM</t>
  </si>
  <si>
    <t>EL FILALI LAMDAGHRI</t>
  </si>
  <si>
    <t>SOUFIANE</t>
  </si>
  <si>
    <t>ANTENNE CONDUITE ET FORMATION TC KENITRA</t>
  </si>
  <si>
    <t>BOUNOU</t>
  </si>
  <si>
    <t>ABDERRAFIE</t>
  </si>
  <si>
    <t>BOUBAGRA</t>
  </si>
  <si>
    <t>AMAR</t>
  </si>
  <si>
    <t>43411E</t>
  </si>
  <si>
    <t>ELMARIOUCH</t>
  </si>
  <si>
    <t>JAMAL</t>
  </si>
  <si>
    <t>85606L</t>
  </si>
  <si>
    <t>RAFYQ</t>
  </si>
  <si>
    <t>SAMIR</t>
  </si>
  <si>
    <t>ANTENNE CONDUITE ET FORMATION TC MARRAKECH</t>
  </si>
  <si>
    <t>SAID</t>
  </si>
  <si>
    <t>RACHID</t>
  </si>
  <si>
    <t>YAZNASNI</t>
  </si>
  <si>
    <t>39297G</t>
  </si>
  <si>
    <t>EL FALAH</t>
  </si>
  <si>
    <t>MOSTAFA</t>
  </si>
  <si>
    <t>SIBARI</t>
  </si>
  <si>
    <t>ANTENNE CONDUITE ET FORMATION PROXIMITE KENITRA</t>
  </si>
  <si>
    <t>AIT TAL</t>
  </si>
  <si>
    <t>ABED</t>
  </si>
  <si>
    <t>BENLAMSADDAQ</t>
  </si>
  <si>
    <t>37649W</t>
  </si>
  <si>
    <t>AFKIR</t>
  </si>
  <si>
    <t>40607R</t>
  </si>
  <si>
    <t>SAIH</t>
  </si>
  <si>
    <t>ABDELLAH</t>
  </si>
  <si>
    <t>43976C</t>
  </si>
  <si>
    <t>BOUZEKRAOUI</t>
  </si>
  <si>
    <t>43969T</t>
  </si>
  <si>
    <t>HADI</t>
  </si>
  <si>
    <t>IMAD</t>
  </si>
  <si>
    <t>85258Y</t>
  </si>
  <si>
    <t>AKRA</t>
  </si>
  <si>
    <t>MOUSSA</t>
  </si>
  <si>
    <t>39868L</t>
  </si>
  <si>
    <t>LYAKIN</t>
  </si>
  <si>
    <t>AHMED</t>
  </si>
  <si>
    <t>ARROUB</t>
  </si>
  <si>
    <t>39437Z</t>
  </si>
  <si>
    <t>SALIH</t>
  </si>
  <si>
    <t>ABDELHAK</t>
  </si>
  <si>
    <t>ANTENNE CONDUITE ET FORMATION GV CASA VOYAGEURS</t>
  </si>
  <si>
    <t>85777P</t>
  </si>
  <si>
    <t>NAJIB</t>
  </si>
  <si>
    <t>ABDELAALI</t>
  </si>
  <si>
    <t>37594E</t>
  </si>
  <si>
    <t>HAJOU</t>
  </si>
  <si>
    <t>OTHMAN</t>
  </si>
  <si>
    <t>38215T</t>
  </si>
  <si>
    <t>LAHRACH</t>
  </si>
  <si>
    <t>LEKBIR</t>
  </si>
  <si>
    <t>EL YOUSFI</t>
  </si>
  <si>
    <t>KACIMI</t>
  </si>
  <si>
    <t>MOHAMMED</t>
  </si>
  <si>
    <t>39988E</t>
  </si>
  <si>
    <t>MOUINE</t>
  </si>
  <si>
    <t>ELYADDOUNE</t>
  </si>
  <si>
    <t>HASSAN</t>
  </si>
  <si>
    <t>ADNY</t>
  </si>
  <si>
    <t>KHALID</t>
  </si>
  <si>
    <t>38179B</t>
  </si>
  <si>
    <t>BOUSHABA</t>
  </si>
  <si>
    <t>TAYEB</t>
  </si>
  <si>
    <t>45596F</t>
  </si>
  <si>
    <t>ELHISS</t>
  </si>
  <si>
    <t>HATIM</t>
  </si>
  <si>
    <t>RACHIDI</t>
  </si>
  <si>
    <t>BOUBKER</t>
  </si>
  <si>
    <t>85512A</t>
  </si>
  <si>
    <t>ACHAACHAA</t>
  </si>
  <si>
    <t>ABDESSAMAD</t>
  </si>
  <si>
    <t>37712W</t>
  </si>
  <si>
    <t>ANNAKI</t>
  </si>
  <si>
    <t>OUSSAMA</t>
  </si>
  <si>
    <t>SAIDI</t>
  </si>
  <si>
    <t>ALI</t>
  </si>
  <si>
    <t>85449A</t>
  </si>
  <si>
    <t>OUIJARRAN</t>
  </si>
  <si>
    <t>MUSTAPHA</t>
  </si>
  <si>
    <t>EL ATTAL</t>
  </si>
  <si>
    <t>RADOUANE</t>
  </si>
  <si>
    <t>ZAHARI</t>
  </si>
  <si>
    <t>ANAS</t>
  </si>
  <si>
    <t>ANTENNE CONDUITE ET FORMATION TC NADOR</t>
  </si>
  <si>
    <t>42416W</t>
  </si>
  <si>
    <t>ERRACHDI</t>
  </si>
  <si>
    <t>ESSEDDIK</t>
  </si>
  <si>
    <t>ABDELLAOUI</t>
  </si>
  <si>
    <t>ER-ROUIAH</t>
  </si>
  <si>
    <t>ABISSI</t>
  </si>
  <si>
    <t>YAKOUBI</t>
  </si>
  <si>
    <t>YOUSFI</t>
  </si>
  <si>
    <t>YOUSSEF</t>
  </si>
  <si>
    <t>43182G</t>
  </si>
  <si>
    <t>SINKOU</t>
  </si>
  <si>
    <t>43178C</t>
  </si>
  <si>
    <t>EL HAFID</t>
  </si>
  <si>
    <t>AMINE</t>
  </si>
  <si>
    <t>CHOUEF</t>
  </si>
  <si>
    <t>GEDIANI</t>
  </si>
  <si>
    <t>DRISS</t>
  </si>
  <si>
    <t>EL HASSANI</t>
  </si>
  <si>
    <t>HAMZA</t>
  </si>
  <si>
    <t>45550B</t>
  </si>
  <si>
    <t>EL MAHI</t>
  </si>
  <si>
    <t>ZAKARIA</t>
  </si>
  <si>
    <t>BCHI</t>
  </si>
  <si>
    <t>MOUAD</t>
  </si>
  <si>
    <t>CENTRE CONDUITE ET FORMATION TC KENITRA</t>
  </si>
  <si>
    <t>45568Y</t>
  </si>
  <si>
    <t>RHALMI</t>
  </si>
  <si>
    <t>ABDELKARIM</t>
  </si>
  <si>
    <t>45544T</t>
  </si>
  <si>
    <t>BAIDOUR</t>
  </si>
  <si>
    <t>EL MEHDI</t>
  </si>
  <si>
    <t>45556H</t>
  </si>
  <si>
    <t>HOURMATALLAH</t>
  </si>
  <si>
    <t>AYOUB</t>
  </si>
  <si>
    <t>45559L</t>
  </si>
  <si>
    <t>KHATER</t>
  </si>
  <si>
    <t>EL KALAI</t>
  </si>
  <si>
    <t>45560M</t>
  </si>
  <si>
    <t>KHRIBECH</t>
  </si>
  <si>
    <t>45567X</t>
  </si>
  <si>
    <t>RAJRAJ</t>
  </si>
  <si>
    <t>45564S</t>
  </si>
  <si>
    <t>LAQSSIR</t>
  </si>
  <si>
    <t>43177B</t>
  </si>
  <si>
    <t>BACHA</t>
  </si>
  <si>
    <t>ABDELILAH</t>
  </si>
  <si>
    <t>45577H</t>
  </si>
  <si>
    <t>ZAOUEK</t>
  </si>
  <si>
    <t>AZZEDDINE</t>
  </si>
  <si>
    <t>45552D</t>
  </si>
  <si>
    <t>ELMASROUR</t>
  </si>
  <si>
    <t>MAROUANE</t>
  </si>
  <si>
    <t>BARNIAT</t>
  </si>
  <si>
    <t>SALEM</t>
  </si>
  <si>
    <t>42405G</t>
  </si>
  <si>
    <t>AZIZIA</t>
  </si>
  <si>
    <t>LAAROUBI</t>
  </si>
  <si>
    <t>CHAMI</t>
  </si>
  <si>
    <t>OMAR</t>
  </si>
  <si>
    <t>EL BOUNAYI</t>
  </si>
  <si>
    <t>GHORAFI</t>
  </si>
  <si>
    <t>BOURIGA</t>
  </si>
  <si>
    <t>ZEROUAL</t>
  </si>
  <si>
    <t>OUGHARMIT</t>
  </si>
  <si>
    <t>BADR</t>
  </si>
  <si>
    <t>EL BOUNI</t>
  </si>
  <si>
    <t>42705N</t>
  </si>
  <si>
    <t>ELOUAHBI</t>
  </si>
  <si>
    <t>ABDELAAZIZ</t>
  </si>
  <si>
    <t>MAGOURI</t>
  </si>
  <si>
    <t>ABD-EL-ILAH</t>
  </si>
  <si>
    <t>EL AAHED</t>
  </si>
  <si>
    <t>ADIL</t>
  </si>
  <si>
    <t>BENCHLAIT</t>
  </si>
  <si>
    <t>YOUNESS</t>
  </si>
  <si>
    <t>HOUARI</t>
  </si>
  <si>
    <t>FOUAD</t>
  </si>
  <si>
    <t>39980W</t>
  </si>
  <si>
    <t>BENDIAB</t>
  </si>
  <si>
    <t>EL KHADIR</t>
  </si>
  <si>
    <t>ABDELKADER</t>
  </si>
  <si>
    <t>LHARTICH</t>
  </si>
  <si>
    <t>CHERKAOUI DAKKAKI</t>
  </si>
  <si>
    <t>85645H</t>
  </si>
  <si>
    <t>MSIKINE</t>
  </si>
  <si>
    <t>43154Z</t>
  </si>
  <si>
    <t>LACHHAB</t>
  </si>
  <si>
    <t>43167N</t>
  </si>
  <si>
    <t>RGUIG</t>
  </si>
  <si>
    <t>NABIL</t>
  </si>
  <si>
    <t>KEHLAOUI</t>
  </si>
  <si>
    <t>ACHRAF</t>
  </si>
  <si>
    <t>AZRAF</t>
  </si>
  <si>
    <t>SADKI</t>
  </si>
  <si>
    <t>ABDELGHANI</t>
  </si>
  <si>
    <t>43695S</t>
  </si>
  <si>
    <t>HMIDANE</t>
  </si>
  <si>
    <t>42710W</t>
  </si>
  <si>
    <t>HALLI</t>
  </si>
  <si>
    <t>AYATE</t>
  </si>
  <si>
    <t>OUTMANE</t>
  </si>
  <si>
    <t>EL ADDAB</t>
  </si>
  <si>
    <t>43155A</t>
  </si>
  <si>
    <t>MACHICHE</t>
  </si>
  <si>
    <t>ABDELMOULA</t>
  </si>
  <si>
    <t>BENAASI</t>
  </si>
  <si>
    <t>BEN SGHIAR</t>
  </si>
  <si>
    <t>NOUREDDINE</t>
  </si>
  <si>
    <t>CHRAIT</t>
  </si>
  <si>
    <t>36792A</t>
  </si>
  <si>
    <t>SMAILI</t>
  </si>
  <si>
    <t>ZIACH</t>
  </si>
  <si>
    <t>EL HAJJI</t>
  </si>
  <si>
    <t>EL AMRANI</t>
  </si>
  <si>
    <t>ABDELKHALEK</t>
  </si>
  <si>
    <t>LAHCEN</t>
  </si>
  <si>
    <t>85579E</t>
  </si>
  <si>
    <t>MAKHLOUFI</t>
  </si>
  <si>
    <t>HAMID</t>
  </si>
  <si>
    <t>45570A</t>
  </si>
  <si>
    <t>SELLIMOU</t>
  </si>
  <si>
    <t>KARIM</t>
  </si>
  <si>
    <t>EL BOURAQADI</t>
  </si>
  <si>
    <t>GOTTI</t>
  </si>
  <si>
    <t>SALAH-EDDINE</t>
  </si>
  <si>
    <t>45548Z</t>
  </si>
  <si>
    <t>EL ATI ALLAH</t>
  </si>
  <si>
    <t>85699Y</t>
  </si>
  <si>
    <t>ECHCHAFI</t>
  </si>
  <si>
    <t>ABDELALI</t>
  </si>
  <si>
    <t>45573D</t>
  </si>
  <si>
    <t>TAMER</t>
  </si>
  <si>
    <t>OTMANE</t>
  </si>
  <si>
    <t>42024D</t>
  </si>
  <si>
    <t>MASTAKO</t>
  </si>
  <si>
    <t>TARIK</t>
  </si>
  <si>
    <t>41669F</t>
  </si>
  <si>
    <t>BOUAZZA</t>
  </si>
  <si>
    <t>EL BACHIR</t>
  </si>
  <si>
    <t>85494D</t>
  </si>
  <si>
    <t>JARMOUNI</t>
  </si>
  <si>
    <t>ABDELHALIM</t>
  </si>
  <si>
    <t>41715K</t>
  </si>
  <si>
    <t>EL BARAKA</t>
  </si>
  <si>
    <t>SIHANE</t>
  </si>
  <si>
    <t>MOUHCINE</t>
  </si>
  <si>
    <t>85446X</t>
  </si>
  <si>
    <t>TAIB</t>
  </si>
  <si>
    <t>42695C</t>
  </si>
  <si>
    <t>ABOUSSOURHRA</t>
  </si>
  <si>
    <t>40134D</t>
  </si>
  <si>
    <t>MADLOUM</t>
  </si>
  <si>
    <t>36994P</t>
  </si>
  <si>
    <t>DRIATE</t>
  </si>
  <si>
    <t>43151W</t>
  </si>
  <si>
    <t>ELHIMA</t>
  </si>
  <si>
    <t>ABDELMOUMEN</t>
  </si>
  <si>
    <t>39274E</t>
  </si>
  <si>
    <t>FAHAM</t>
  </si>
  <si>
    <t>NOUR EDDINE</t>
  </si>
  <si>
    <t>85437K</t>
  </si>
  <si>
    <t>ROUINI</t>
  </si>
  <si>
    <t>43580F</t>
  </si>
  <si>
    <t>EL JAZOULI</t>
  </si>
  <si>
    <t>85695S</t>
  </si>
  <si>
    <t>AROUCHI</t>
  </si>
  <si>
    <t>43563K</t>
  </si>
  <si>
    <t>AIT HADI</t>
  </si>
  <si>
    <t>WAFIK</t>
  </si>
  <si>
    <t>OUCHAR</t>
  </si>
  <si>
    <t>RADI</t>
  </si>
  <si>
    <t>ESSARRAJ</t>
  </si>
  <si>
    <t>LAKHILI</t>
  </si>
  <si>
    <t>LAKHDIM</t>
  </si>
  <si>
    <t>CHERAMAT</t>
  </si>
  <si>
    <t>39678K</t>
  </si>
  <si>
    <t>BAYA</t>
  </si>
  <si>
    <t>ABDALLAH</t>
  </si>
  <si>
    <t>43978E</t>
  </si>
  <si>
    <t>SADRAOUI</t>
  </si>
  <si>
    <t>MARMOUCH</t>
  </si>
  <si>
    <t>ABBADI</t>
  </si>
  <si>
    <t>85747E</t>
  </si>
  <si>
    <t>ED DOUYBY</t>
  </si>
  <si>
    <t>40599G</t>
  </si>
  <si>
    <t>CHAWKI</t>
  </si>
  <si>
    <t>AFIF</t>
  </si>
  <si>
    <t>43418M</t>
  </si>
  <si>
    <t>EL HADDAOUY</t>
  </si>
  <si>
    <t>ZEGMOU</t>
  </si>
  <si>
    <t>85697W</t>
  </si>
  <si>
    <t>NASSIH</t>
  </si>
  <si>
    <t>BELGACEM</t>
  </si>
  <si>
    <t>43404X</t>
  </si>
  <si>
    <t>DAHHANY</t>
  </si>
  <si>
    <t>43402T</t>
  </si>
  <si>
    <t>EL AMRI</t>
  </si>
  <si>
    <t>ABDELHADI</t>
  </si>
  <si>
    <t>42673B</t>
  </si>
  <si>
    <t>REGAL</t>
  </si>
  <si>
    <t>42711X</t>
  </si>
  <si>
    <t>LAGHNIMI</t>
  </si>
  <si>
    <t>85703C</t>
  </si>
  <si>
    <t>MARZOUKI</t>
  </si>
  <si>
    <t>SMAIL</t>
  </si>
  <si>
    <t>EL ANSARI</t>
  </si>
  <si>
    <t>ISMAIL</t>
  </si>
  <si>
    <t>39251C</t>
  </si>
  <si>
    <t>TAHIR</t>
  </si>
  <si>
    <t>ABDELAZIZ</t>
  </si>
  <si>
    <t>42921X</t>
  </si>
  <si>
    <t>RIYAD</t>
  </si>
  <si>
    <t>BELHAOUZI</t>
  </si>
  <si>
    <t>ALAE EDDINE</t>
  </si>
  <si>
    <t>42708S</t>
  </si>
  <si>
    <t>SOKAKINI</t>
  </si>
  <si>
    <t>85785A</t>
  </si>
  <si>
    <t>EL ALAMY</t>
  </si>
  <si>
    <t>ABDELHAFID</t>
  </si>
  <si>
    <t>AGUERD</t>
  </si>
  <si>
    <t>ECHAFIK</t>
  </si>
  <si>
    <t>ABOUS</t>
  </si>
  <si>
    <t>BOUHDADA</t>
  </si>
  <si>
    <t>43413G</t>
  </si>
  <si>
    <t>CHERRAH</t>
  </si>
  <si>
    <t>43158D</t>
  </si>
  <si>
    <t>TAOUFIQ</t>
  </si>
  <si>
    <t>85772J</t>
  </si>
  <si>
    <t>OUKHELLOU</t>
  </si>
  <si>
    <t>43420P</t>
  </si>
  <si>
    <t>EL IDRYSY</t>
  </si>
  <si>
    <t>LAKHAL</t>
  </si>
  <si>
    <t>ABDESLAM</t>
  </si>
  <si>
    <t>LAMGHARI</t>
  </si>
  <si>
    <t>BELKACEM</t>
  </si>
  <si>
    <t>DRAOUI</t>
  </si>
  <si>
    <t>EL AHNAF</t>
  </si>
  <si>
    <t>39229B</t>
  </si>
  <si>
    <t>MOUAHID</t>
  </si>
  <si>
    <t>BRAHIM</t>
  </si>
  <si>
    <t>42958P</t>
  </si>
  <si>
    <t>BOULEHROUZ</t>
  </si>
  <si>
    <t>MABROUKI</t>
  </si>
  <si>
    <t>42424E</t>
  </si>
  <si>
    <t>LAAMARI</t>
  </si>
  <si>
    <t>RABIE</t>
  </si>
  <si>
    <t>LAAREJ</t>
  </si>
  <si>
    <t>36445L</t>
  </si>
  <si>
    <t>GUISSI</t>
  </si>
  <si>
    <t>ABDEL ILAH</t>
  </si>
  <si>
    <t>38765Z</t>
  </si>
  <si>
    <t>LASFAR</t>
  </si>
  <si>
    <t>SALDANI</t>
  </si>
  <si>
    <t>39730Y</t>
  </si>
  <si>
    <t>BENGHACHEM</t>
  </si>
  <si>
    <t>Organisation Mere</t>
  </si>
  <si>
    <t>Organisation</t>
  </si>
  <si>
    <t>Prenom</t>
  </si>
  <si>
    <t>Nom</t>
  </si>
  <si>
    <t>Date De Naissance</t>
  </si>
  <si>
    <t>Age SUM</t>
  </si>
  <si>
    <t>Classe</t>
  </si>
  <si>
    <t>Date Dernier Examen</t>
  </si>
  <si>
    <t>Resultat</t>
  </si>
  <si>
    <t>Prochaine visite</t>
  </si>
  <si>
    <t xml:space="preserve">ETABLISSEMENT PRODUCTION TC SUD
</t>
  </si>
  <si>
    <t>CHEF  DE  TRAINS</t>
  </si>
  <si>
    <t>Favorable</t>
  </si>
  <si>
    <t>ETABLISSEMENT PRODUCTION TC NORD</t>
  </si>
  <si>
    <t>CONDUCTEUR  DE  LIGNE</t>
  </si>
  <si>
    <t>CONDUCTEUR DE MANOEUVRE</t>
  </si>
  <si>
    <t>CHEF  FORMATION  TRAINS</t>
  </si>
  <si>
    <t>45546X</t>
  </si>
  <si>
    <t>BOUCHAHMA</t>
  </si>
  <si>
    <t>ETABLISSEMENT PRODUCTION GV</t>
  </si>
  <si>
    <t>CONDUCTEUR  DE  LIGNE GV</t>
  </si>
  <si>
    <t>JEDDI</t>
  </si>
  <si>
    <t>43723B</t>
  </si>
  <si>
    <t>KARI</t>
  </si>
  <si>
    <t>45565T</t>
  </si>
  <si>
    <t>LOUAZ</t>
  </si>
  <si>
    <t>45572C</t>
  </si>
  <si>
    <t>SIFAOUI</t>
  </si>
  <si>
    <t>CONDUCTEUR DE LIGNE MONITEUR</t>
  </si>
  <si>
    <t>HDAYACH</t>
  </si>
  <si>
    <t>EL AMRAOUI</t>
  </si>
  <si>
    <t>44300M</t>
  </si>
  <si>
    <t>ELOUAZI</t>
  </si>
  <si>
    <t>ENCADRANT CONDUITE</t>
  </si>
  <si>
    <t>40906Y</t>
  </si>
  <si>
    <t>MOUKRAM</t>
  </si>
  <si>
    <t>CHKHACHKHI</t>
  </si>
  <si>
    <t>AVIS FAVORABLE</t>
  </si>
  <si>
    <t>44301N</t>
  </si>
  <si>
    <t>SARA</t>
  </si>
  <si>
    <t>ZEGDAOUI</t>
  </si>
  <si>
    <t>44310A</t>
  </si>
  <si>
    <t>ANASS</t>
  </si>
  <si>
    <t>EDDAYAI</t>
  </si>
  <si>
    <t>85549T</t>
  </si>
  <si>
    <t>ABDERRAZZAK</t>
  </si>
  <si>
    <t>EL MOKHANTAR</t>
  </si>
  <si>
    <t>SALMAOUI</t>
  </si>
  <si>
    <t>44299L</t>
  </si>
  <si>
    <t>ABDESSALAM</t>
  </si>
  <si>
    <t>MOUFASSIH</t>
  </si>
  <si>
    <t>85585L</t>
  </si>
  <si>
    <t>YOUNES</t>
  </si>
  <si>
    <t>EL-MOUTAKI</t>
  </si>
  <si>
    <t>85458K</t>
  </si>
  <si>
    <t>ABDELKRIM</t>
  </si>
  <si>
    <t>CONDUCTEUR DE LIGNE GV MONITEUR</t>
  </si>
  <si>
    <t>38205G</t>
  </si>
  <si>
    <t>EL HAIMES</t>
  </si>
  <si>
    <t>DIRIGEANT FORMATION DES TRAINS</t>
  </si>
  <si>
    <t>41255M</t>
  </si>
  <si>
    <t>CHAOULE</t>
  </si>
  <si>
    <t>41289D</t>
  </si>
  <si>
    <t>NIFA</t>
  </si>
  <si>
    <t>CHARGE DE TRACTION</t>
  </si>
  <si>
    <t>43378P</t>
  </si>
  <si>
    <t>RATTOUN</t>
  </si>
  <si>
    <t>44278L</t>
  </si>
  <si>
    <t>EL MARGA</t>
  </si>
  <si>
    <t>42811P</t>
  </si>
  <si>
    <t>ERRAHMANI</t>
  </si>
  <si>
    <t>43004W</t>
  </si>
  <si>
    <t>ADIB</t>
  </si>
  <si>
    <t>DIRECTION TRANSPORT VOYAGEURS</t>
  </si>
  <si>
    <t>DAHANI</t>
  </si>
  <si>
    <t>42948D</t>
  </si>
  <si>
    <t>EL BAZ</t>
  </si>
  <si>
    <t>43376M</t>
  </si>
  <si>
    <t>BOUTAIB</t>
  </si>
  <si>
    <t>AKARBACH</t>
  </si>
  <si>
    <t>EL BOUCHIKHI</t>
  </si>
  <si>
    <t>ISSAM</t>
  </si>
  <si>
    <t>SERHSOURH</t>
  </si>
  <si>
    <t>42703L</t>
  </si>
  <si>
    <t>ZIAD</t>
  </si>
  <si>
    <t>EDDAHHAOUI</t>
  </si>
  <si>
    <t>ZARHOUNI</t>
  </si>
  <si>
    <t>42924A</t>
  </si>
  <si>
    <t>EL FARISSI</t>
  </si>
  <si>
    <t>42682L</t>
  </si>
  <si>
    <t>DEGDOUGUI</t>
  </si>
  <si>
    <t>41270F</t>
  </si>
  <si>
    <t>SEFRI</t>
  </si>
  <si>
    <t>41684Z</t>
  </si>
  <si>
    <t>YALAOUI</t>
  </si>
  <si>
    <t>43696T</t>
  </si>
  <si>
    <t>REDOUANE</t>
  </si>
  <si>
    <t>HMIDOUCH</t>
  </si>
  <si>
    <t>43702B</t>
  </si>
  <si>
    <t>DAZZAL</t>
  </si>
  <si>
    <t>ABDENNACEUR</t>
  </si>
  <si>
    <t>CHAKER</t>
  </si>
  <si>
    <t>40328J</t>
  </si>
  <si>
    <t>BELKAIR</t>
  </si>
  <si>
    <t>ARIF</t>
  </si>
  <si>
    <t>43707G</t>
  </si>
  <si>
    <t>LAAZIRI</t>
  </si>
  <si>
    <t>DAHOUR</t>
  </si>
  <si>
    <t>37478R</t>
  </si>
  <si>
    <t>NOR-EDDINE</t>
  </si>
  <si>
    <t>ZAHIR</t>
  </si>
  <si>
    <t>36757H</t>
  </si>
  <si>
    <t>CHAFIQ</t>
  </si>
  <si>
    <t>BENAISSA</t>
  </si>
  <si>
    <t>46243B</t>
  </si>
  <si>
    <t>LOUBNA</t>
  </si>
  <si>
    <t>SOULIMANI</t>
  </si>
  <si>
    <t>43721Z</t>
  </si>
  <si>
    <t>JARNAOUI</t>
  </si>
  <si>
    <t>43686G</t>
  </si>
  <si>
    <t>BEN LAMINE</t>
  </si>
  <si>
    <t>EL MITARI</t>
  </si>
  <si>
    <t>43712M</t>
  </si>
  <si>
    <t>TAHIRI</t>
  </si>
  <si>
    <t>GATOA</t>
  </si>
  <si>
    <t>43683D</t>
  </si>
  <si>
    <t>BENSRIBIT</t>
  </si>
  <si>
    <t>42918S</t>
  </si>
  <si>
    <t>BENMCHICH</t>
  </si>
  <si>
    <t>BAKAOUI</t>
  </si>
  <si>
    <t>38682A</t>
  </si>
  <si>
    <t>FOUZI</t>
  </si>
  <si>
    <t>SOUS SURVEILL MEDICALE</t>
  </si>
  <si>
    <t>BENKHRIF</t>
  </si>
  <si>
    <t>45025B</t>
  </si>
  <si>
    <t>DAROUICH</t>
  </si>
  <si>
    <t>ZERIOUH</t>
  </si>
  <si>
    <t>43719X</t>
  </si>
  <si>
    <t>TAOUFIK</t>
  </si>
  <si>
    <t>KHOUY</t>
  </si>
  <si>
    <t>43724C</t>
  </si>
  <si>
    <t>KAHLAN</t>
  </si>
  <si>
    <t>EL YAZID</t>
  </si>
  <si>
    <t>TRIOUAT</t>
  </si>
  <si>
    <t>BARBACH</t>
  </si>
  <si>
    <t>43699Y</t>
  </si>
  <si>
    <t>ELASRI</t>
  </si>
  <si>
    <t>43713N</t>
  </si>
  <si>
    <t>ILYAS</t>
  </si>
  <si>
    <t>BELMOUZOUNA</t>
  </si>
  <si>
    <t>BAROUKH</t>
  </si>
  <si>
    <t>42929F</t>
  </si>
  <si>
    <t>JAOUAD</t>
  </si>
  <si>
    <t>42961T</t>
  </si>
  <si>
    <t>SAAD</t>
  </si>
  <si>
    <t>ZAOUIA</t>
  </si>
  <si>
    <t>43690L</t>
  </si>
  <si>
    <t>MACHHOUR</t>
  </si>
  <si>
    <t>44795C</t>
  </si>
  <si>
    <t>WALID</t>
  </si>
  <si>
    <t>TOUHAMI</t>
  </si>
  <si>
    <t>LAHYANI</t>
  </si>
  <si>
    <t>44296H</t>
  </si>
  <si>
    <t>CHEMMARI</t>
  </si>
  <si>
    <t>44001G</t>
  </si>
  <si>
    <t>BARMANE</t>
  </si>
  <si>
    <t>43987P</t>
  </si>
  <si>
    <t>MAZ</t>
  </si>
  <si>
    <t>CHAHID</t>
  </si>
  <si>
    <t>YASSIR</t>
  </si>
  <si>
    <t>MOUBSIT</t>
  </si>
  <si>
    <t>CHEF DE TRAINS GV</t>
  </si>
  <si>
    <t>45889E</t>
  </si>
  <si>
    <t>MAGADA</t>
  </si>
  <si>
    <t>45876N</t>
  </si>
  <si>
    <t>YAHYA</t>
  </si>
  <si>
    <t>KAYADJI</t>
  </si>
  <si>
    <t>45878R</t>
  </si>
  <si>
    <t>KHATOUF</t>
  </si>
  <si>
    <t>ABDELMOUGHITE</t>
  </si>
  <si>
    <t>EL AOMARI</t>
  </si>
  <si>
    <t>EL BAKKOUCH</t>
  </si>
  <si>
    <t>45866C</t>
  </si>
  <si>
    <t>HAIMOUCH</t>
  </si>
  <si>
    <t>45888D</t>
  </si>
  <si>
    <t>SAKHR</t>
  </si>
  <si>
    <t>MADIHI</t>
  </si>
  <si>
    <t>45871H</t>
  </si>
  <si>
    <t>ILIAS</t>
  </si>
  <si>
    <t>AZEDDINE</t>
  </si>
  <si>
    <t>BARDAOUI</t>
  </si>
  <si>
    <t>AZROUR</t>
  </si>
  <si>
    <t>45828G</t>
  </si>
  <si>
    <t>ABOUKAL</t>
  </si>
  <si>
    <t>45838T</t>
  </si>
  <si>
    <t>BELBAHLOUL</t>
  </si>
  <si>
    <t>45843A</t>
  </si>
  <si>
    <t>CHARBI</t>
  </si>
  <si>
    <t>DENNOUN</t>
  </si>
  <si>
    <t>CHELHANI</t>
  </si>
  <si>
    <t>BARROUZ</t>
  </si>
  <si>
    <t>BELMIR</t>
  </si>
  <si>
    <t>45841Y</t>
  </si>
  <si>
    <t>MOHAMMED AYOUB</t>
  </si>
  <si>
    <t>BOUHZAM</t>
  </si>
  <si>
    <t>45916L</t>
  </si>
  <si>
    <t>FAHD</t>
  </si>
  <si>
    <t>BAGHRIR</t>
  </si>
  <si>
    <t>ELIBRAHIMY</t>
  </si>
  <si>
    <t>DANDAN</t>
  </si>
  <si>
    <t>EL KHABBOUTI</t>
  </si>
  <si>
    <t>ELFANDI</t>
  </si>
  <si>
    <t>EL OTMANI</t>
  </si>
  <si>
    <t>EL KHAYATI</t>
  </si>
  <si>
    <t>43680A</t>
  </si>
  <si>
    <t>BOUKHAL</t>
  </si>
  <si>
    <t>45863Z</t>
  </si>
  <si>
    <t>FENNIRI</t>
  </si>
  <si>
    <t>IBNO-EL FATA</t>
  </si>
  <si>
    <t>ABDOLMONAIM</t>
  </si>
  <si>
    <t>KAROUA</t>
  </si>
  <si>
    <t>HSSAINE</t>
  </si>
  <si>
    <t>45874L</t>
  </si>
  <si>
    <t>JRIRI</t>
  </si>
  <si>
    <t>45873K</t>
  </si>
  <si>
    <t>JAAFAR</t>
  </si>
  <si>
    <t>OUAABOU</t>
  </si>
  <si>
    <t>45895L</t>
  </si>
  <si>
    <t>BILAL</t>
  </si>
  <si>
    <t>RIABI</t>
  </si>
  <si>
    <t>NOUREDDIN</t>
  </si>
  <si>
    <t>OUKHABBA</t>
  </si>
  <si>
    <t>45898P</t>
  </si>
  <si>
    <t>ABDERRAHMAN</t>
  </si>
  <si>
    <t>ZEMMOURI</t>
  </si>
  <si>
    <t>ELKANNEB</t>
  </si>
  <si>
    <t>ZOUHAIR</t>
  </si>
  <si>
    <t>DAMI</t>
  </si>
  <si>
    <t>JEOUAL</t>
  </si>
  <si>
    <t>45880T</t>
  </si>
  <si>
    <t>LAAMOURI</t>
  </si>
  <si>
    <t>45840X</t>
  </si>
  <si>
    <t>BOUDEROUA</t>
  </si>
  <si>
    <t>45881W</t>
  </si>
  <si>
    <t>EL KHAMAR</t>
  </si>
  <si>
    <t>LAGRICH</t>
  </si>
  <si>
    <t>FAICAL</t>
  </si>
  <si>
    <t>ZHAR</t>
  </si>
  <si>
    <t>45859T</t>
  </si>
  <si>
    <t>ELKHALFI</t>
  </si>
  <si>
    <t>45842Z</t>
  </si>
  <si>
    <t>BOUKHADARA</t>
  </si>
  <si>
    <t>45862Y</t>
  </si>
  <si>
    <t>EZ-ZAINE</t>
  </si>
  <si>
    <t>45865B</t>
  </si>
  <si>
    <t>HADIR</t>
  </si>
  <si>
    <t>45849G</t>
  </si>
  <si>
    <t>EL BAKKALI</t>
  </si>
  <si>
    <t>LICHIR</t>
  </si>
  <si>
    <t>45847E</t>
  </si>
  <si>
    <t>KHALIL</t>
  </si>
  <si>
    <t>DRAIGUI</t>
  </si>
  <si>
    <t>45896M</t>
  </si>
  <si>
    <t>ZAIR</t>
  </si>
  <si>
    <t>43720Y</t>
  </si>
  <si>
    <t>HASSANE</t>
  </si>
  <si>
    <t>GHAFIR</t>
  </si>
  <si>
    <t>45902W</t>
  </si>
  <si>
    <t>BIYA</t>
  </si>
  <si>
    <t>44108J</t>
  </si>
  <si>
    <t>MOUTAANI</t>
  </si>
  <si>
    <t>45987X</t>
  </si>
  <si>
    <t>ABDELFATTAH</t>
  </si>
  <si>
    <t>KENTARI</t>
  </si>
  <si>
    <t>45989Z</t>
  </si>
  <si>
    <t>CHOUAIB</t>
  </si>
  <si>
    <t>OUADDAHI</t>
  </si>
  <si>
    <t>MOUNTASSIR</t>
  </si>
  <si>
    <t>BOUCHAMA</t>
  </si>
  <si>
    <t>JAADANE</t>
  </si>
  <si>
    <t>RJEB</t>
  </si>
  <si>
    <t>85435H</t>
  </si>
  <si>
    <t>IBERKDICHEN</t>
  </si>
  <si>
    <t>37614D</t>
  </si>
  <si>
    <t>ELKINCH</t>
  </si>
  <si>
    <t>85776N</t>
  </si>
  <si>
    <t>SALAH EDDINE</t>
  </si>
  <si>
    <t>KHOURCHI</t>
  </si>
  <si>
    <t>43700Z</t>
  </si>
  <si>
    <t>43577C</t>
  </si>
  <si>
    <t>ERRAJI</t>
  </si>
  <si>
    <t>85781W</t>
  </si>
  <si>
    <t>KHAYOUSSEF</t>
  </si>
  <si>
    <t>44019D</t>
  </si>
  <si>
    <t>ZAHIRI</t>
  </si>
  <si>
    <t>43560G</t>
  </si>
  <si>
    <t>OTHMANE</t>
  </si>
  <si>
    <t>ZANFAR</t>
  </si>
  <si>
    <t>43515D</t>
  </si>
  <si>
    <t>RHARBAOUI</t>
  </si>
  <si>
    <t>43517F</t>
  </si>
  <si>
    <t>JRAIF</t>
  </si>
  <si>
    <t>ENCADRANT FORMATION DES TRAINS</t>
  </si>
  <si>
    <t>44872T</t>
  </si>
  <si>
    <t>OUSAID</t>
  </si>
  <si>
    <t>44789W</t>
  </si>
  <si>
    <t>LAZRI</t>
  </si>
  <si>
    <t>85516E</t>
  </si>
  <si>
    <t>ALLAL</t>
  </si>
  <si>
    <t>OUALILI</t>
  </si>
  <si>
    <t>44773B</t>
  </si>
  <si>
    <t>AFILAL</t>
  </si>
  <si>
    <t>FAKHR ED-DINE</t>
  </si>
  <si>
    <t>NOUALI</t>
  </si>
  <si>
    <t>44787S</t>
  </si>
  <si>
    <t>ABDERRAZAK</t>
  </si>
  <si>
    <t>HOUSNI</t>
  </si>
  <si>
    <t>IOUNOUSSE</t>
  </si>
  <si>
    <t>44778G</t>
  </si>
  <si>
    <t>HAITAM</t>
  </si>
  <si>
    <t>BELLALI</t>
  </si>
  <si>
    <t>ABDELJALIL</t>
  </si>
  <si>
    <t>ESSAADAOUI</t>
  </si>
  <si>
    <t>ASDA</t>
  </si>
  <si>
    <t>44786R</t>
  </si>
  <si>
    <t>HARTI</t>
  </si>
  <si>
    <t>44797E</t>
  </si>
  <si>
    <t>ZAROUALY</t>
  </si>
  <si>
    <t>44780J</t>
  </si>
  <si>
    <t>EL AATOUANI</t>
  </si>
  <si>
    <t>44779H</t>
  </si>
  <si>
    <t>BOUZZINE</t>
  </si>
  <si>
    <t>44776E</t>
  </si>
  <si>
    <t>BARKAOUI</t>
  </si>
  <si>
    <t>44781K</t>
  </si>
  <si>
    <t>Âge Fin 26</t>
  </si>
  <si>
    <t>EPTC KENITRA</t>
  </si>
  <si>
    <t>BOUGNINE MOSTAFA</t>
  </si>
  <si>
    <t>Nom / prénom</t>
  </si>
  <si>
    <t>c45870G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</si>
</sst>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ptos"/>
      <family val="2"/>
    </font>
    <font>
      <sz val="26"/>
      <color theme="1"/>
      <name val="Aptos"/>
      <family val="2"/>
    </font>
    <font>
      <b/>
      <sz val="14"/>
      <color theme="1" tint="4.9989318521683403E-2"/>
      <name val="Aptos"/>
      <family val="2"/>
    </font>
    <font>
      <sz val="14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sz val="26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Calibri"/>
      <family val="2"/>
      <scheme val="minor"/>
    </font>
    <font>
      <b/>
      <sz val="9"/>
      <color theme="1"/>
      <name val="Aptos"/>
      <family val="2"/>
    </font>
    <font>
      <sz val="26"/>
      <color rgb="FF00B050"/>
      <name val="Aptos"/>
      <family val="2"/>
    </font>
    <font>
      <sz val="26"/>
      <color rgb="FF00B050"/>
      <name val="Aptos"/>
    </font>
    <font>
      <sz val="26"/>
      <color rgb="FFFF0000"/>
      <name val="Aptos"/>
      <family val="2"/>
    </font>
    <font>
      <sz val="26"/>
      <color rgb="FFFFC000"/>
      <name val="Aptos"/>
      <family val="2"/>
    </font>
    <font>
      <sz val="26"/>
      <color rgb="FFFFC000"/>
      <name val="Aptos"/>
    </font>
    <font>
      <sz val="26"/>
      <color rgb="FFFF0000"/>
      <name val="Aptos"/>
    </font>
    <font>
      <b/>
      <sz val="12"/>
      <color theme="1"/>
      <name val="Aptos"/>
    </font>
    <font>
      <b/>
      <sz val="20"/>
      <color theme="1"/>
      <name val="Aptos"/>
      <family val="2"/>
    </font>
    <font>
      <sz val="12"/>
      <color theme="1"/>
      <name val="Aptos"/>
    </font>
    <font>
      <b/>
      <sz val="12"/>
      <color rgb="FF000000"/>
      <name val="Aptos"/>
    </font>
    <font>
      <sz val="8"/>
      <color indexed="8"/>
      <name val="Tw Cen MT"/>
      <family val="2"/>
    </font>
    <font>
      <sz val="8"/>
      <name val="Tw Cen MT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ptos"/>
    </font>
    <font>
      <b/>
      <sz val="12"/>
      <color rgb="FF000000"/>
      <name val="Aptos"/>
      <family val="2"/>
    </font>
    <font>
      <sz val="11"/>
      <name val="Calibri"/>
      <family val="2"/>
    </font>
    <font>
      <sz val="11"/>
      <name val="Times New Roman"/>
      <family val="1"/>
    </font>
    <font>
      <sz val="12"/>
      <color rgb="FF000000"/>
      <name val="Aptos"/>
      <charset val="1"/>
    </font>
    <font>
      <sz val="12"/>
      <color rgb="FF000000"/>
      <name val="Aptos"/>
      <family val="2"/>
    </font>
    <font>
      <b/>
      <sz val="26"/>
      <color theme="1"/>
      <name val="Cambria"/>
      <family val="1"/>
    </font>
    <font>
      <sz val="12"/>
      <name val="Aptos"/>
      <family val="2"/>
    </font>
    <font>
      <sz val="26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26" fillId="0" borderId="0"/>
  </cellStyleXfs>
  <cellXfs count="216">
    <xf numFmtId="0" fontId="0" fillId="0" borderId="0" xfId="0"/>
    <xf numFmtId="14" fontId="3" fillId="7" borderId="5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5" fillId="0" borderId="1" xfId="0" quotePrefix="1" applyNumberFormat="1" applyFont="1" applyBorder="1" applyAlignment="1">
      <alignment horizontal="center" vertical="center" wrapText="1"/>
    </xf>
    <xf numFmtId="14" fontId="5" fillId="1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top"/>
    </xf>
    <xf numFmtId="14" fontId="5" fillId="6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11" borderId="3" xfId="0" applyNumberFormat="1" applyFont="1" applyFill="1" applyBorder="1" applyAlignment="1">
      <alignment horizontal="center" vertical="center" wrapText="1"/>
    </xf>
    <xf numFmtId="14" fontId="5" fillId="5" borderId="3" xfId="0" applyNumberFormat="1" applyFont="1" applyFill="1" applyBorder="1" applyAlignment="1">
      <alignment horizontal="center" vertical="center" wrapText="1"/>
    </xf>
    <xf numFmtId="14" fontId="5" fillId="6" borderId="3" xfId="0" applyNumberFormat="1" applyFont="1" applyFill="1" applyBorder="1" applyAlignment="1">
      <alignment horizontal="center" vertical="center" wrapText="1"/>
    </xf>
    <xf numFmtId="14" fontId="5" fillId="12" borderId="3" xfId="0" applyNumberFormat="1" applyFont="1" applyFill="1" applyBorder="1" applyAlignment="1">
      <alignment horizontal="center" vertical="center" wrapText="1"/>
    </xf>
    <xf numFmtId="0" fontId="7" fillId="17" borderId="8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14" fontId="5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7" fillId="10" borderId="8" xfId="0" applyFont="1" applyFill="1" applyBorder="1" applyAlignment="1" applyProtection="1">
      <alignment horizontal="center" vertical="center" wrapText="1"/>
      <protection locked="0"/>
    </xf>
    <xf numFmtId="14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0" fontId="7" fillId="13" borderId="7" xfId="0" applyFont="1" applyFill="1" applyBorder="1" applyAlignment="1" applyProtection="1">
      <alignment horizontal="center" vertical="center" wrapText="1"/>
      <protection locked="0"/>
    </xf>
    <xf numFmtId="0" fontId="7" fillId="13" borderId="8" xfId="0" applyFont="1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12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7" fillId="15" borderId="8" xfId="0" applyFont="1" applyFill="1" applyBorder="1" applyAlignment="1" applyProtection="1">
      <alignment horizontal="center" vertical="center" wrapText="1"/>
      <protection locked="0"/>
    </xf>
    <xf numFmtId="0" fontId="7" fillId="14" borderId="8" xfId="0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14" fontId="11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14" fontId="11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8" borderId="8" xfId="0" applyFont="1" applyFill="1" applyBorder="1" applyAlignment="1" applyProtection="1">
      <alignment horizontal="center" vertical="center" wrapText="1"/>
      <protection locked="0"/>
    </xf>
    <xf numFmtId="0" fontId="7" fillId="14" borderId="6" xfId="0" applyFont="1" applyFill="1" applyBorder="1" applyAlignment="1" applyProtection="1">
      <alignment horizontal="center" vertical="center" wrapText="1"/>
      <protection locked="0"/>
    </xf>
    <xf numFmtId="14" fontId="14" fillId="0" borderId="4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14" fontId="15" fillId="0" borderId="5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center" vertical="center" wrapText="1"/>
    </xf>
    <xf numFmtId="0" fontId="11" fillId="15" borderId="0" xfId="0" applyFont="1" applyFill="1" applyAlignment="1" applyProtection="1">
      <alignment horizontal="center" vertical="center" wrapText="1"/>
      <protection locked="0"/>
    </xf>
    <xf numFmtId="0" fontId="20" fillId="15" borderId="0" xfId="0" applyFont="1" applyFill="1" applyAlignment="1" applyProtection="1">
      <alignment horizontal="center" vertical="center" wrapText="1"/>
      <protection locked="0"/>
    </xf>
    <xf numFmtId="2" fontId="5" fillId="0" borderId="4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 applyProtection="1">
      <alignment horizontal="center" vertical="center" wrapText="1"/>
    </xf>
    <xf numFmtId="2" fontId="7" fillId="17" borderId="8" xfId="0" applyNumberFormat="1" applyFont="1" applyFill="1" applyBorder="1" applyAlignment="1">
      <alignment horizontal="center" vertical="center" wrapText="1"/>
    </xf>
    <xf numFmtId="2" fontId="7" fillId="15" borderId="8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2" fontId="7" fillId="16" borderId="8" xfId="0" applyNumberFormat="1" applyFont="1" applyFill="1" applyBorder="1" applyAlignment="1">
      <alignment horizontal="center" vertical="center" wrapText="1"/>
    </xf>
    <xf numFmtId="2" fontId="5" fillId="12" borderId="1" xfId="1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 applyProtection="1">
      <alignment horizontal="center" vertical="center" wrapText="1"/>
      <protection locked="0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 wrapText="1"/>
      <protection locked="0"/>
    </xf>
    <xf numFmtId="14" fontId="22" fillId="0" borderId="1" xfId="0" applyNumberFormat="1" applyFont="1" applyBorder="1" applyAlignment="1" applyProtection="1">
      <alignment horizontal="center" vertical="center" wrapText="1"/>
      <protection locked="0"/>
    </xf>
    <xf numFmtId="14" fontId="22" fillId="0" borderId="1" xfId="0" applyNumberFormat="1" applyFont="1" applyBorder="1" applyAlignment="1">
      <alignment horizontal="center" vertical="center" wrapText="1"/>
    </xf>
    <xf numFmtId="2" fontId="22" fillId="0" borderId="1" xfId="1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5" borderId="1" xfId="2" applyFont="1" applyFill="1" applyBorder="1" applyAlignment="1" applyProtection="1">
      <alignment horizontal="center" vertical="center" wrapText="1"/>
      <protection locked="0"/>
    </xf>
    <xf numFmtId="14" fontId="22" fillId="0" borderId="2" xfId="0" applyNumberFormat="1" applyFont="1" applyBorder="1" applyAlignment="1">
      <alignment horizontal="center" vertical="center" wrapText="1"/>
    </xf>
    <xf numFmtId="2" fontId="22" fillId="0" borderId="3" xfId="1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 applyProtection="1">
      <alignment horizontal="center" vertical="center" wrapText="1"/>
      <protection locked="0"/>
    </xf>
    <xf numFmtId="14" fontId="22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14" fontId="23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24" fillId="19" borderId="21" xfId="0" applyFont="1" applyFill="1" applyBorder="1" applyAlignment="1">
      <alignment horizontal="center" vertical="center"/>
    </xf>
    <xf numFmtId="0" fontId="25" fillId="19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5" fillId="19" borderId="22" xfId="0" applyFont="1" applyFill="1" applyBorder="1" applyAlignment="1">
      <alignment horizontal="center" vertical="center"/>
    </xf>
    <xf numFmtId="0" fontId="25" fillId="19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4" fontId="22" fillId="0" borderId="4" xfId="0" applyNumberFormat="1" applyFont="1" applyBorder="1" applyAlignment="1" applyProtection="1">
      <alignment horizontal="center" vertical="center" wrapText="1"/>
      <protection locked="0"/>
    </xf>
    <xf numFmtId="14" fontId="29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30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24" fillId="20" borderId="1" xfId="0" applyFont="1" applyFill="1" applyBorder="1" applyAlignment="1">
      <alignment horizontal="center" vertical="center"/>
    </xf>
    <xf numFmtId="0" fontId="24" fillId="20" borderId="18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5" fontId="25" fillId="0" borderId="1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5" fontId="25" fillId="0" borderId="18" xfId="0" applyNumberFormat="1" applyFont="1" applyBorder="1" applyAlignment="1">
      <alignment horizontal="center" vertical="center"/>
    </xf>
    <xf numFmtId="14" fontId="25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19" xfId="3" applyFont="1" applyBorder="1" applyAlignment="1">
      <alignment horizontal="center" vertical="center" wrapText="1"/>
    </xf>
    <xf numFmtId="14" fontId="27" fillId="0" borderId="19" xfId="3" applyNumberFormat="1" applyFont="1" applyBorder="1" applyAlignment="1">
      <alignment horizontal="center" vertical="center" wrapText="1"/>
    </xf>
    <xf numFmtId="0" fontId="27" fillId="0" borderId="20" xfId="3" applyFont="1" applyBorder="1" applyAlignment="1">
      <alignment horizontal="center" vertical="center" wrapText="1"/>
    </xf>
    <xf numFmtId="14" fontId="27" fillId="0" borderId="20" xfId="3" applyNumberFormat="1" applyFont="1" applyBorder="1" applyAlignment="1">
      <alignment horizontal="center" vertical="center" wrapText="1"/>
    </xf>
    <xf numFmtId="14" fontId="14" fillId="0" borderId="25" xfId="0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>
      <alignment horizontal="center" vertical="center" wrapText="1"/>
    </xf>
    <xf numFmtId="14" fontId="22" fillId="0" borderId="18" xfId="0" applyNumberFormat="1" applyFont="1" applyBorder="1" applyAlignment="1" applyProtection="1">
      <alignment horizontal="center" vertical="center" wrapText="1"/>
      <protection locked="0"/>
    </xf>
    <xf numFmtId="2" fontId="22" fillId="0" borderId="18" xfId="1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2" fontId="22" fillId="0" borderId="23" xfId="1" applyNumberFormat="1" applyFont="1" applyBorder="1" applyAlignment="1">
      <alignment horizontal="center" vertical="center" wrapText="1"/>
    </xf>
    <xf numFmtId="14" fontId="22" fillId="0" borderId="24" xfId="0" applyNumberFormat="1" applyFont="1" applyBorder="1" applyAlignment="1">
      <alignment horizontal="center" vertical="center" wrapText="1"/>
    </xf>
    <xf numFmtId="14" fontId="29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29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14" fontId="22" fillId="0" borderId="26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2" fontId="22" fillId="0" borderId="26" xfId="1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4" fontId="5" fillId="0" borderId="26" xfId="0" applyNumberFormat="1" applyFont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>
      <alignment horizontal="center" vertical="center" wrapText="1"/>
    </xf>
    <xf numFmtId="0" fontId="31" fillId="3" borderId="1" xfId="0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4" fontId="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8" xfId="2" applyFont="1" applyBorder="1" applyAlignment="1" applyProtection="1">
      <alignment horizontal="center" vertical="center" wrapText="1"/>
      <protection locked="0"/>
    </xf>
    <xf numFmtId="0" fontId="32" fillId="0" borderId="1" xfId="2" applyFont="1" applyBorder="1" applyAlignment="1" applyProtection="1">
      <alignment horizontal="center" vertical="center" wrapText="1"/>
      <protection locked="0"/>
    </xf>
    <xf numFmtId="0" fontId="22" fillId="0" borderId="26" xfId="0" applyFont="1" applyBorder="1" applyAlignment="1" applyProtection="1">
      <alignment horizontal="center" vertical="center" wrapText="1"/>
      <protection locked="0"/>
    </xf>
    <xf numFmtId="0" fontId="32" fillId="0" borderId="1" xfId="2" applyFont="1" applyBorder="1" applyAlignment="1">
      <alignment horizontal="center" vertical="center" wrapText="1"/>
    </xf>
    <xf numFmtId="0" fontId="5" fillId="0" borderId="27" xfId="0" applyFont="1" applyBorder="1" applyAlignment="1" applyProtection="1">
      <alignment horizontal="center" vertical="center" wrapText="1"/>
      <protection locked="0"/>
    </xf>
    <xf numFmtId="14" fontId="5" fillId="0" borderId="27" xfId="0" applyNumberFormat="1" applyFont="1" applyBorder="1" applyAlignment="1">
      <alignment horizontal="center" vertical="center" wrapText="1"/>
    </xf>
    <xf numFmtId="14" fontId="5" fillId="0" borderId="27" xfId="0" applyNumberFormat="1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3" fillId="0" borderId="0" xfId="0" applyFont="1"/>
    <xf numFmtId="14" fontId="5" fillId="0" borderId="26" xfId="0" applyNumberFormat="1" applyFont="1" applyBorder="1" applyAlignment="1">
      <alignment horizontal="center" vertical="center" wrapText="1"/>
    </xf>
    <xf numFmtId="2" fontId="5" fillId="0" borderId="27" xfId="0" applyNumberFormat="1" applyFont="1" applyBorder="1" applyAlignment="1">
      <alignment horizontal="center" vertical="center" wrapText="1"/>
    </xf>
    <xf numFmtId="2" fontId="5" fillId="0" borderId="26" xfId="0" applyNumberFormat="1" applyFont="1" applyBorder="1" applyAlignment="1">
      <alignment horizontal="center" vertical="center" wrapText="1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0" fillId="0" borderId="26" xfId="0" applyBorder="1" applyAlignment="1">
      <alignment horizontal="center" vertical="center" wrapText="1"/>
    </xf>
    <xf numFmtId="0" fontId="33" fillId="0" borderId="26" xfId="0" applyFont="1" applyBorder="1"/>
    <xf numFmtId="0" fontId="34" fillId="0" borderId="29" xfId="0" applyFont="1" applyBorder="1" applyAlignment="1" applyProtection="1">
      <alignment horizontal="center" vertical="center" wrapText="1"/>
      <protection locked="0"/>
    </xf>
    <xf numFmtId="14" fontId="22" fillId="0" borderId="2" xfId="0" applyNumberFormat="1" applyFont="1" applyBorder="1" applyAlignment="1" applyProtection="1">
      <alignment horizontal="center" vertical="center" wrapText="1"/>
      <protection locked="0"/>
    </xf>
    <xf numFmtId="14" fontId="33" fillId="0" borderId="0" xfId="0" applyNumberFormat="1" applyFont="1"/>
    <xf numFmtId="0" fontId="0" fillId="5" borderId="0" xfId="0" applyFill="1" applyAlignment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14" fontId="14" fillId="5" borderId="4" xfId="0" applyNumberFormat="1" applyFont="1" applyFill="1" applyBorder="1" applyAlignment="1">
      <alignment horizontal="center" vertical="center" wrapText="1"/>
    </xf>
    <xf numFmtId="2" fontId="5" fillId="5" borderId="1" xfId="1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5" fillId="5" borderId="1" xfId="1" applyNumberFormat="1" applyFont="1" applyFill="1" applyBorder="1" applyAlignment="1" applyProtection="1">
      <alignment horizontal="center" vertical="center" wrapText="1"/>
    </xf>
    <xf numFmtId="14" fontId="5" fillId="5" borderId="1" xfId="0" quotePrefix="1" applyNumberFormat="1" applyFont="1" applyFill="1" applyBorder="1" applyAlignment="1">
      <alignment horizontal="center" vertical="center" wrapText="1"/>
    </xf>
    <xf numFmtId="14" fontId="5" fillId="5" borderId="0" xfId="0" applyNumberFormat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wrapText="1"/>
    </xf>
    <xf numFmtId="0" fontId="33" fillId="0" borderId="0" xfId="0" applyFont="1" applyProtection="1">
      <protection locked="0"/>
    </xf>
    <xf numFmtId="14" fontId="11" fillId="5" borderId="1" xfId="0" applyNumberFormat="1" applyFont="1" applyFill="1" applyBorder="1" applyAlignment="1" applyProtection="1">
      <alignment horizontal="center" vertical="center" wrapText="1"/>
      <protection locked="0"/>
    </xf>
    <xf numFmtId="14" fontId="23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36" fillId="12" borderId="1" xfId="0" applyFont="1" applyFill="1" applyBorder="1" applyAlignment="1" applyProtection="1">
      <alignment horizontal="center" vertical="center" wrapText="1"/>
      <protection locked="0"/>
    </xf>
    <xf numFmtId="0" fontId="36" fillId="12" borderId="4" xfId="0" applyFont="1" applyFill="1" applyBorder="1" applyAlignment="1" applyProtection="1">
      <alignment horizontal="center" vertical="center" wrapText="1"/>
      <protection locked="0"/>
    </xf>
    <xf numFmtId="14" fontId="37" fillId="12" borderId="4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9" fillId="15" borderId="13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15" xfId="0" applyFont="1" applyFill="1" applyBorder="1" applyAlignment="1">
      <alignment horizontal="center" vertical="center" wrapText="1"/>
    </xf>
    <xf numFmtId="0" fontId="9" fillId="17" borderId="13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2" fontId="35" fillId="10" borderId="10" xfId="0" applyNumberFormat="1" applyFont="1" applyFill="1" applyBorder="1" applyAlignment="1">
      <alignment horizontal="center" vertical="center" wrapText="1"/>
    </xf>
    <xf numFmtId="2" fontId="35" fillId="10" borderId="11" xfId="0" applyNumberFormat="1" applyFont="1" applyFill="1" applyBorder="1" applyAlignment="1">
      <alignment horizontal="center" vertical="center" wrapText="1"/>
    </xf>
    <xf numFmtId="2" fontId="35" fillId="10" borderId="12" xfId="0" applyNumberFormat="1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13" borderId="12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center" vertical="center" wrapText="1"/>
    </xf>
    <xf numFmtId="0" fontId="9" fillId="14" borderId="1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_Feuil1" xfId="3" xr:uid="{00000000-0005-0000-0000-000003000000}"/>
  </cellStyles>
  <dxfs count="148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fgColor rgb="FF00B050"/>
        </patternFill>
      </fill>
    </dxf>
    <dxf>
      <font>
        <b/>
        <i val="0"/>
        <color rgb="FFFFC000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fgColor rgb="FF00B050"/>
        </patternFill>
      </fill>
    </dxf>
    <dxf>
      <font>
        <b/>
        <i val="0"/>
        <color rgb="FFFFC000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rgb="FF00B050"/>
      </font>
      <fill>
        <patternFill>
          <fgColor rgb="FF00B050"/>
        </patternFill>
      </fill>
    </dxf>
    <dxf>
      <font>
        <b/>
        <i val="0"/>
        <color rgb="FFFFC000"/>
      </font>
      <fill>
        <patternFill patternType="none">
          <fgColor indexed="64"/>
          <bgColor auto="1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numFmt numFmtId="20" formatCode="d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Tw Cen MT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numFmt numFmtId="20" formatCode="dd\-mmm\-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w Cen MT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ptos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ptos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19" formatCode="dd/mm/yyyy"/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  <protection locked="0" hidden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ptos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FFFF"/>
      <color rgb="FF99CCFF"/>
      <color rgb="FF0099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3" displayName="Tableau3" ref="B7:AD160" totalsRowShown="0" headerRowDxfId="147" dataDxfId="145" headerRowBorderDxfId="146" tableBorderDxfId="144">
  <autoFilter ref="B7:AD160" xr:uid="{00000000-0009-0000-0100-000003000000}">
    <filterColumn colId="11">
      <filters>
        <filter val="Chef de Train"/>
        <filter val="Conducteur de Manœuvre"/>
      </filters>
    </filterColumn>
  </autoFilter>
  <tableColumns count="29">
    <tableColumn id="1" xr3:uid="{00000000-0010-0000-0000-000001000000}" name="Nom /Prénom" dataDxfId="143"/>
    <tableColumn id="28" xr3:uid="{00000000-0010-0000-0000-00001C000000}" name="Matricule" dataDxfId="142"/>
    <tableColumn id="29" xr3:uid="{00000000-0010-0000-0000-00001D000000}" name="Résidence_x0009_" dataDxfId="141"/>
    <tableColumn id="2" xr3:uid="{00000000-0010-0000-0000-000002000000}" name="Date d'autorisation" dataDxfId="140"/>
    <tableColumn id="26" xr3:uid="{00000000-0010-0000-0000-00001A000000}" name="Validité " dataDxfId="139">
      <calculatedColumnFormula>IF(Tableau3[[#This Row],[Date d''expiration ]]&gt;TODAY()+31,"✅",IF(Tableau3[[#This Row],[Date d''expiration ]]&gt; TODAY()+1, "⚠️","⛔️"))</calculatedColumnFormula>
    </tableColumn>
    <tableColumn id="30" xr3:uid="{00000000-0010-0000-0000-00001E000000}" name="Date d'expiration " dataDxfId="138"/>
    <tableColumn id="27" xr3:uid="{00000000-0010-0000-0000-00001B000000}" name="Motif  " dataDxfId="137">
      <calculatedColumnFormula>IF(Tableau3[[#This Row],[Validité ]]&gt;TODAY(),"Néant","Cas à justifier")</calculatedColumnFormula>
    </tableColumn>
    <tableColumn id="3" xr3:uid="{00000000-0010-0000-0000-000003000000}" name="Date naissance" dataDxfId="136"/>
    <tableColumn id="4" xr3:uid="{00000000-0010-0000-0000-000004000000}" name="Âge actuel" dataDxfId="135"/>
    <tableColumn id="5" xr3:uid="{00000000-0010-0000-0000-000005000000}" name="Âge Fin 25" dataDxfId="134"/>
    <tableColumn id="6" xr3:uid="{00000000-0010-0000-0000-000006000000}" name="Âge Fin 26" dataDxfId="133"/>
    <tableColumn id="8" xr3:uid="{00000000-0010-0000-0000-000008000000}" name="Fonction" dataDxfId="132"/>
    <tableColumn id="9" xr3:uid="{00000000-0010-0000-0000-000009000000}" name="Engin " dataDxfId="131"/>
    <tableColumn id="10" xr3:uid="{00000000-0010-0000-0000-00000A000000}" name="Ligne / Site " dataDxfId="130"/>
    <tableColumn id="12" xr3:uid="{00000000-0010-0000-0000-00000C000000}" name="Dernière  VM" dataDxfId="129"/>
    <tableColumn id="13" xr3:uid="{00000000-0010-0000-0000-00000D000000}" name="Résultat/Obs " dataDxfId="128"/>
    <tableColumn id="14" xr3:uid="{00000000-0010-0000-0000-00000E000000}" name="Âge_dernière VM" dataDxfId="127"/>
    <tableColumn id="15" xr3:uid="{00000000-0010-0000-0000-00000F000000}" name="Périodicité VM" dataDxfId="126"/>
    <tableColumn id="16" xr3:uid="{00000000-0010-0000-0000-000010000000}" name="Date prochaine VM  " dataDxfId="125"/>
    <tableColumn id="17" xr3:uid="{00000000-0010-0000-0000-000011000000}" name="Dernier Psy" dataDxfId="124"/>
    <tableColumn id="18" xr3:uid="{00000000-0010-0000-0000-000012000000}" name="Résultat/Obs" dataDxfId="123"/>
    <tableColumn id="19" xr3:uid="{00000000-0010-0000-0000-000013000000}" name="Âge_dernier Psy " dataDxfId="122"/>
    <tableColumn id="20" xr3:uid="{00000000-0010-0000-0000-000014000000}" name="Périodicité  Psy" dataDxfId="121"/>
    <tableColumn id="21" xr3:uid="{00000000-0010-0000-0000-000015000000}" name="Date prochain  Psy" dataDxfId="120"/>
    <tableColumn id="22" xr3:uid="{00000000-0010-0000-0000-000016000000}" name="Dernière évaluation" dataDxfId="119"/>
    <tableColumn id="23" xr3:uid="{00000000-0010-0000-0000-000017000000}" name="Résultat /Obs" dataDxfId="118"/>
    <tableColumn id="24" xr3:uid="{00000000-0010-0000-0000-000018000000}" name="Date prochaine évaluation" dataDxfId="117"/>
    <tableColumn id="7" xr3:uid="{00000000-0010-0000-0000-000007000000}" name="Colonne1" dataDxfId="116">
      <calculatedColumnFormula>EDATE(AA8, 12)</calculatedColumnFormula>
    </tableColumn>
    <tableColumn id="11" xr3:uid="{00000000-0010-0000-0000-00000B000000}" name="Colonne2" dataDxfId="1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35" displayName="Tableau35" ref="B7:AC18" totalsRowShown="0" headerRowDxfId="114" dataDxfId="112" headerRowBorderDxfId="113" tableBorderDxfId="111">
  <autoFilter ref="B7:AC18" xr:uid="{00000000-0009-0000-0100-000004000000}"/>
  <tableColumns count="28">
    <tableColumn id="1" xr3:uid="{00000000-0010-0000-0100-000001000000}" name="Nom / prénom" dataDxfId="110"/>
    <tableColumn id="28" xr3:uid="{00000000-0010-0000-0100-00001C000000}" name="Matricule" dataDxfId="109"/>
    <tableColumn id="29" xr3:uid="{00000000-0010-0000-0100-00001D000000}" name="Résidence_x0009_" dataDxfId="108"/>
    <tableColumn id="2" xr3:uid="{00000000-0010-0000-0100-000002000000}" name="Date d'autorisation " dataDxfId="107"/>
    <tableColumn id="26" xr3:uid="{00000000-0010-0000-0100-00001A000000}" name="Validité " dataDxfId="106">
      <calculatedColumnFormula>#REF!</calculatedColumnFormula>
    </tableColumn>
    <tableColumn id="30" xr3:uid="{00000000-0010-0000-0100-00001E000000}" name="Date d'expiration " dataDxfId="105"/>
    <tableColumn id="27" xr3:uid="{00000000-0010-0000-0100-00001B000000}" name="Motif  " dataDxfId="104">
      <calculatedColumnFormula>IF(Tableau35[[#This Row],[Validité ]]&gt;TODAY(),"Néant","Cas à justifier")</calculatedColumnFormula>
    </tableColumn>
    <tableColumn id="3" xr3:uid="{00000000-0010-0000-0100-000003000000}" name="Date naissance" dataDxfId="103"/>
    <tableColumn id="4" xr3:uid="{00000000-0010-0000-0100-000004000000}" name="Âge actuel" dataDxfId="102"/>
    <tableColumn id="5" xr3:uid="{00000000-0010-0000-0100-000005000000}" name="Âge Fin 25" dataDxfId="101"/>
    <tableColumn id="6" xr3:uid="{00000000-0010-0000-0100-000006000000}" name="Âge Fin 26" dataDxfId="100"/>
    <tableColumn id="8" xr3:uid="{00000000-0010-0000-0100-000008000000}" name="Fonction" dataDxfId="99"/>
    <tableColumn id="9" xr3:uid="{00000000-0010-0000-0100-000009000000}" name="Engin " dataDxfId="98"/>
    <tableColumn id="31" xr3:uid="{00000000-0010-0000-0100-00001F000000}" name="type de matériel " dataDxfId="97"/>
    <tableColumn id="10" xr3:uid="{00000000-0010-0000-0100-00000A000000}" name="Site " dataDxfId="96"/>
    <tableColumn id="12" xr3:uid="{00000000-0010-0000-0100-00000C000000}" name="Dernière  VM" dataDxfId="95"/>
    <tableColumn id="13" xr3:uid="{00000000-0010-0000-0100-00000D000000}" name="Résultat/Obs " dataDxfId="94"/>
    <tableColumn id="14" xr3:uid="{00000000-0010-0000-0100-00000E000000}" name="Âge_dernière VM" dataDxfId="93"/>
    <tableColumn id="15" xr3:uid="{00000000-0010-0000-0100-00000F000000}" name="Périodicité VM" dataDxfId="92"/>
    <tableColumn id="16" xr3:uid="{00000000-0010-0000-0100-000010000000}" name="Date prochaine VM  " dataDxfId="91"/>
    <tableColumn id="17" xr3:uid="{00000000-0010-0000-0100-000011000000}" name="Dernier Psy" dataDxfId="90"/>
    <tableColumn id="18" xr3:uid="{00000000-0010-0000-0100-000012000000}" name="Résultat/Obs" dataDxfId="89"/>
    <tableColumn id="19" xr3:uid="{00000000-0010-0000-0100-000013000000}" name="Âge_dernier Psy " dataDxfId="88"/>
    <tableColumn id="20" xr3:uid="{00000000-0010-0000-0100-000014000000}" name="Périodicité  Psy" dataDxfId="87"/>
    <tableColumn id="21" xr3:uid="{00000000-0010-0000-0100-000015000000}" name="Date prochain  Psy" dataDxfId="86"/>
    <tableColumn id="22" xr3:uid="{00000000-0010-0000-0100-000016000000}" name="Dernière évaluation" dataDxfId="85"/>
    <tableColumn id="23" xr3:uid="{00000000-0010-0000-0100-000017000000}" name="Résultat /Obs" dataDxfId="84"/>
    <tableColumn id="24" xr3:uid="{00000000-0010-0000-0100-000018000000}" name="Date prochaine évaluation" dataDxfId="8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32" displayName="Tableau32" ref="B7:AG40" totalsRowShown="0" headerRowDxfId="82" dataDxfId="80" headerRowBorderDxfId="81" tableBorderDxfId="79">
  <autoFilter ref="B7:AG40" xr:uid="{00000000-0009-0000-0100-000001000000}"/>
  <sortState xmlns:xlrd2="http://schemas.microsoft.com/office/spreadsheetml/2017/richdata2" ref="B8:AB40">
    <sortCondition ref="D8:D40"/>
  </sortState>
  <tableColumns count="32">
    <tableColumn id="1" xr3:uid="{00000000-0010-0000-0200-000001000000}" name="Nom / prénom" dataDxfId="78"/>
    <tableColumn id="28" xr3:uid="{00000000-0010-0000-0200-00001C000000}" name="Matricule" dataDxfId="77"/>
    <tableColumn id="29" xr3:uid="{00000000-0010-0000-0200-00001D000000}" name="Résidence_x0009_" dataDxfId="76"/>
    <tableColumn id="32" xr3:uid="{00000000-0010-0000-0200-000020000000}" name="Date d'autorisation " dataDxfId="75"/>
    <tableColumn id="26" xr3:uid="{00000000-0010-0000-0200-00001A000000}" name="Validité " dataDxfId="74">
      <calculatedColumnFormula>#REF!</calculatedColumnFormula>
    </tableColumn>
    <tableColumn id="30" xr3:uid="{00000000-0010-0000-0200-00001E000000}" name="Date d'expiration " dataDxfId="73"/>
    <tableColumn id="27" xr3:uid="{00000000-0010-0000-0200-00001B000000}" name="Motif  " dataDxfId="72">
      <calculatedColumnFormula>IF(Tableau32[[#This Row],[Validité ]]&gt;TODAY(),"Néant","Cas à justifier")</calculatedColumnFormula>
    </tableColumn>
    <tableColumn id="3" xr3:uid="{00000000-0010-0000-0200-000003000000}" name="Date naissance" dataDxfId="71"/>
    <tableColumn id="4" xr3:uid="{00000000-0010-0000-0200-000004000000}" name="Âge actuel" dataDxfId="70"/>
    <tableColumn id="5" xr3:uid="{00000000-0010-0000-0200-000005000000}" name="Âge Fin 25" dataDxfId="69"/>
    <tableColumn id="6" xr3:uid="{00000000-0010-0000-0200-000006000000}" name="Âge Fin 26" dataDxfId="68"/>
    <tableColumn id="8" xr3:uid="{00000000-0010-0000-0200-000008000000}" name="Fonction" dataDxfId="67"/>
    <tableColumn id="9" xr3:uid="{00000000-0010-0000-0200-000009000000}" name="Engin " dataDxfId="66"/>
    <tableColumn id="10" xr3:uid="{00000000-0010-0000-0200-00000A000000}" name="Ligne" dataDxfId="65"/>
    <tableColumn id="12" xr3:uid="{00000000-0010-0000-0200-00000C000000}" name="Dernière VM" dataDxfId="64"/>
    <tableColumn id="13" xr3:uid="{00000000-0010-0000-0200-00000D000000}" name="Résultat/Obs " dataDxfId="63"/>
    <tableColumn id="14" xr3:uid="{00000000-0010-0000-0200-00000E000000}" name="Âge_dernière VM" dataDxfId="62"/>
    <tableColumn id="15" xr3:uid="{00000000-0010-0000-0200-00000F000000}" name="Périodicité VM" dataDxfId="61">
      <calculatedColumnFormula>IF(L8&lt;40,"4",IF(L8&lt;50,"3",IF(L8&lt;55,"2","1")))</calculatedColumnFormula>
    </tableColumn>
    <tableColumn id="16" xr3:uid="{00000000-0010-0000-0200-000010000000}" name="Date prochaine VM  " dataDxfId="60"/>
    <tableColumn id="17" xr3:uid="{00000000-0010-0000-0200-000011000000}" name="Dernier Psy" dataDxfId="59"/>
    <tableColumn id="18" xr3:uid="{00000000-0010-0000-0200-000012000000}" name="Résultat/Obs" dataDxfId="58"/>
    <tableColumn id="19" xr3:uid="{00000000-0010-0000-0200-000013000000}" name="Âge_dernier Psy " dataDxfId="57"/>
    <tableColumn id="20" xr3:uid="{00000000-0010-0000-0200-000014000000}" name="Périodicité  Psy" dataDxfId="56">
      <calculatedColumnFormula>IF(L8&lt;40,"4",IF(L8&lt;55,"3","1"))</calculatedColumnFormula>
    </tableColumn>
    <tableColumn id="21" xr3:uid="{00000000-0010-0000-0200-000015000000}" name="Date prochain  Psy" dataDxfId="55"/>
    <tableColumn id="22" xr3:uid="{00000000-0010-0000-0200-000016000000}" name="Dernier passage" dataDxfId="54"/>
    <tableColumn id="23" xr3:uid="{00000000-0010-0000-0200-000017000000}" name="Résultat /Obs" dataDxfId="53"/>
    <tableColumn id="24" xr3:uid="{00000000-0010-0000-0200-000018000000}" name="Prochain passage" dataDxfId="52"/>
    <tableColumn id="2" xr3:uid="{00000000-0010-0000-0200-000002000000}" name="Total des heures de conduite au 31/12/2024" dataDxfId="51"/>
    <tableColumn id="7" xr3:uid="{00000000-0010-0000-0200-000007000000}" name="Total des heures de conduite au 31/03/2025" dataDxfId="50"/>
    <tableColumn id="11" xr3:uid="{00000000-0010-0000-0200-00000B000000}" name="Total des heures de conduite au 30/06/2025" dataDxfId="49"/>
    <tableColumn id="25" xr3:uid="{00000000-0010-0000-0200-000019000000}" name="Total des heures de conduite au 30/09/2025" dataDxfId="48"/>
    <tableColumn id="31" xr3:uid="{00000000-0010-0000-0200-00001F000000}" name="Total des heures de conduite au 31/12/2025" dataDxfId="4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au2" displayName="Tableau2" ref="B2:I182" totalsRowShown="0" headerRowDxfId="46" dataDxfId="44" headerRowBorderDxfId="45" tableBorderDxfId="43" totalsRowBorderDxfId="42" dataCellStyle="Normal_Feuil1">
  <autoFilter ref="B2:I182" xr:uid="{00000000-0009-0000-0100-000002000000}">
    <filterColumn colId="3">
      <filters>
        <filter val="ANTENNE CONDUITE ET FORMATION PROXIMITE KENITRA"/>
        <filter val="ANTENNE CONDUITE ET FORMATION TC FES"/>
        <filter val="ANTENNE CONDUITE ET FORMATION TC KENITRA"/>
        <filter val="ANTENNE CONDUITE ET FORMATION TC NADOR"/>
        <filter val="ANTENNE CONDUITE ET FORMATION TC OUJDA"/>
        <filter val="CENTRE CONDUITE ET FORMATION TC KENITRA"/>
        <filter val="CENTRE OPERATIONNEL ACTIVITES"/>
      </filters>
    </filterColumn>
  </autoFilter>
  <tableColumns count="8">
    <tableColumn id="3" xr3:uid="{00000000-0010-0000-0300-000003000000}" name="MATRICULE" dataDxfId="41" dataCellStyle="Normal_Feuil1"/>
    <tableColumn id="4" xr3:uid="{00000000-0010-0000-0300-000004000000}" name="NOM" dataDxfId="40" dataCellStyle="Normal_Feuil1"/>
    <tableColumn id="5" xr3:uid="{00000000-0010-0000-0300-000005000000}" name="PRENOM" dataDxfId="39" dataCellStyle="Normal_Feuil1"/>
    <tableColumn id="7" xr3:uid="{00000000-0010-0000-0300-000007000000}" name="RESIDENCE" dataDxfId="38" dataCellStyle="Normal_Feuil1"/>
    <tableColumn id="8" xr3:uid="{00000000-0010-0000-0300-000008000000}" name="CENTRE EXAMEN" dataDxfId="37" dataCellStyle="Normal_Feuil1"/>
    <tableColumn id="9" xr3:uid="{00000000-0010-0000-0300-000009000000}" name="CLASSE DE SECURITE" dataDxfId="36" dataCellStyle="Normal_Feuil1"/>
    <tableColumn id="10" xr3:uid="{00000000-0010-0000-0300-00000A000000}" name="DATE PREVUE" dataDxfId="35" dataCellStyle="Normal_Feuil1"/>
    <tableColumn id="11" xr3:uid="{00000000-0010-0000-0300-00000B000000}" name="NATURE EXAMEN" dataDxfId="34" dataCellStyle="Normal_Feuil1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5" displayName="Tableau5" ref="B2:M228" totalsRowShown="0" headerRowDxfId="33" dataDxfId="31" headerRowBorderDxfId="32" tableBorderDxfId="30" totalsRowBorderDxfId="29">
  <autoFilter ref="B2:M228" xr:uid="{00000000-0009-0000-0100-000005000000}"/>
  <sortState xmlns:xlrd2="http://schemas.microsoft.com/office/spreadsheetml/2017/richdata2" ref="B3:M228">
    <sortCondition ref="L2:L228"/>
  </sortState>
  <tableColumns count="12">
    <tableColumn id="1" xr3:uid="{00000000-0010-0000-0400-000001000000}" name="Organisation Mere" dataDxfId="28"/>
    <tableColumn id="2" xr3:uid="{00000000-0010-0000-0400-000002000000}" name="Organisation" dataDxfId="27"/>
    <tableColumn id="3" xr3:uid="{00000000-0010-0000-0400-000003000000}" name="Fonction" dataDxfId="26"/>
    <tableColumn id="4" xr3:uid="{00000000-0010-0000-0400-000004000000}" name="Matricule" dataDxfId="25"/>
    <tableColumn id="5" xr3:uid="{00000000-0010-0000-0400-000005000000}" name="Prenom" dataDxfId="24"/>
    <tableColumn id="6" xr3:uid="{00000000-0010-0000-0400-000006000000}" name="Nom" dataDxfId="23"/>
    <tableColumn id="8" xr3:uid="{00000000-0010-0000-0400-000008000000}" name="Date De Naissance" dataDxfId="22"/>
    <tableColumn id="9" xr3:uid="{00000000-0010-0000-0400-000009000000}" name="Age SUM" dataDxfId="21"/>
    <tableColumn id="10" xr3:uid="{00000000-0010-0000-0400-00000A000000}" name="Classe" dataDxfId="20"/>
    <tableColumn id="11" xr3:uid="{00000000-0010-0000-0400-00000B000000}" name="Date Dernier Examen" dataDxfId="19"/>
    <tableColumn id="12" xr3:uid="{00000000-0010-0000-0400-00000C000000}" name="Resultat" dataDxfId="18"/>
    <tableColumn id="13" xr3:uid="{00000000-0010-0000-0400-00000D000000}" name="Prochaine visite" dataDxfId="1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46"/>
  <sheetViews>
    <sheetView tabSelected="1" zoomScale="55" zoomScaleNormal="55" workbookViewId="0">
      <pane xSplit="8" ySplit="7" topLeftCell="I72" activePane="bottomRight" state="frozen"/>
      <selection pane="topRight" activeCell="I1" sqref="I1"/>
      <selection pane="bottomLeft" activeCell="A8" sqref="A8"/>
      <selection pane="bottomRight" activeCell="C74" sqref="C74"/>
    </sheetView>
  </sheetViews>
  <sheetFormatPr defaultColWidth="10.7265625" defaultRowHeight="15.5" x14ac:dyDescent="0.35"/>
  <cols>
    <col min="1" max="1" width="7.54296875" style="18" customWidth="1"/>
    <col min="2" max="2" width="23.453125" style="18" customWidth="1"/>
    <col min="3" max="3" width="13" style="18" customWidth="1"/>
    <col min="4" max="4" width="13.81640625" style="18" customWidth="1"/>
    <col min="5" max="5" width="19.1796875" style="18" customWidth="1"/>
    <col min="6" max="6" width="12" style="18" customWidth="1"/>
    <col min="7" max="7" width="16.81640625" style="18" customWidth="1"/>
    <col min="8" max="8" width="19.1796875" style="23" customWidth="1"/>
    <col min="9" max="9" width="14.453125" style="18" customWidth="1"/>
    <col min="10" max="10" width="10.1796875" style="82" customWidth="1"/>
    <col min="11" max="11" width="15.7265625" style="82" customWidth="1"/>
    <col min="12" max="12" width="25.1796875" style="82" customWidth="1"/>
    <col min="13" max="13" width="22.54296875" style="18" customWidth="1"/>
    <col min="14" max="14" width="20.26953125" style="18" customWidth="1"/>
    <col min="15" max="15" width="25.54296875" style="18" customWidth="1"/>
    <col min="16" max="16" width="19.1796875" style="24" customWidth="1"/>
    <col min="17" max="17" width="18.81640625" style="18" customWidth="1"/>
    <col min="18" max="18" width="17" style="82" customWidth="1"/>
    <col min="19" max="19" width="18.81640625" style="18" customWidth="1"/>
    <col min="20" max="20" width="23.453125" style="18" customWidth="1"/>
    <col min="21" max="21" width="15.81640625" style="25" customWidth="1"/>
    <col min="22" max="22" width="20.81640625" style="18" customWidth="1"/>
    <col min="23" max="23" width="20.54296875" style="82" customWidth="1"/>
    <col min="24" max="24" width="19.54296875" style="18" customWidth="1"/>
    <col min="25" max="25" width="23.7265625" style="18" customWidth="1"/>
    <col min="26" max="26" width="25" style="26" customWidth="1"/>
    <col min="27" max="27" width="17.81640625" style="18" customWidth="1"/>
    <col min="28" max="28" width="19.54296875" style="18" customWidth="1"/>
    <col min="29" max="29" width="16.54296875" style="18" customWidth="1"/>
    <col min="30" max="16384" width="10.7265625" style="18"/>
  </cols>
  <sheetData>
    <row r="1" spans="1:30" ht="8.15" customHeight="1" thickBot="1" x14ac:dyDescent="0.4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30" ht="41.15" customHeight="1" thickBot="1" x14ac:dyDescent="0.4">
      <c r="B2" s="183" t="s">
        <v>0</v>
      </c>
      <c r="C2" s="184"/>
      <c r="D2" s="184"/>
      <c r="E2" s="184"/>
      <c r="F2" s="184"/>
      <c r="G2" s="184"/>
      <c r="H2" s="185"/>
      <c r="I2" s="17"/>
      <c r="J2" s="206" t="s">
        <v>1325</v>
      </c>
      <c r="K2" s="207"/>
      <c r="L2" s="207"/>
      <c r="M2" s="207"/>
      <c r="N2" s="207"/>
      <c r="O2" s="207"/>
      <c r="P2" s="207"/>
      <c r="Q2" s="207"/>
      <c r="R2" s="207"/>
      <c r="S2" s="208"/>
      <c r="T2" s="17"/>
      <c r="U2" s="17"/>
      <c r="V2" s="17"/>
      <c r="W2" s="79"/>
      <c r="X2" s="17"/>
      <c r="Y2" s="17"/>
      <c r="Z2" s="17"/>
      <c r="AA2" s="17"/>
      <c r="AB2" s="17" t="s">
        <v>314</v>
      </c>
    </row>
    <row r="3" spans="1:30" ht="6" customHeight="1" thickBot="1" x14ac:dyDescent="0.4">
      <c r="B3" s="17"/>
      <c r="C3" s="17"/>
      <c r="D3" s="17"/>
      <c r="E3" s="17"/>
      <c r="F3" s="17"/>
      <c r="G3" s="17"/>
      <c r="H3" s="17"/>
      <c r="I3" s="17"/>
      <c r="J3" s="79"/>
      <c r="K3" s="79"/>
      <c r="L3" s="79"/>
      <c r="M3" s="17"/>
      <c r="N3" s="17"/>
      <c r="O3" s="17"/>
      <c r="P3" s="17"/>
      <c r="Q3" s="17"/>
      <c r="R3" s="79"/>
      <c r="S3" s="17"/>
      <c r="T3" s="17"/>
      <c r="U3" s="17"/>
      <c r="V3" s="17"/>
      <c r="W3" s="79"/>
      <c r="X3" s="17"/>
      <c r="Y3" s="17"/>
      <c r="Z3" s="17"/>
      <c r="AA3" s="17"/>
      <c r="AB3" s="17"/>
    </row>
    <row r="4" spans="1:30" ht="35.15" customHeight="1" thickBot="1" x14ac:dyDescent="0.4">
      <c r="B4" s="27" t="s">
        <v>1</v>
      </c>
      <c r="C4" s="68" t="s">
        <v>2</v>
      </c>
      <c r="D4" s="204" t="s">
        <v>3</v>
      </c>
      <c r="E4" s="205"/>
      <c r="F4" s="67" t="s">
        <v>4</v>
      </c>
      <c r="G4" s="28" t="s">
        <v>5</v>
      </c>
      <c r="H4" s="66" t="s">
        <v>6</v>
      </c>
      <c r="I4" s="17"/>
      <c r="J4" s="79"/>
      <c r="K4" s="79"/>
      <c r="L4" s="79"/>
      <c r="M4" s="17"/>
      <c r="N4" s="17"/>
      <c r="O4" s="17"/>
      <c r="P4" s="17"/>
      <c r="Q4" s="17"/>
      <c r="R4" s="79"/>
      <c r="S4" s="17"/>
      <c r="T4" s="17"/>
      <c r="U4" s="17"/>
      <c r="V4" s="17"/>
      <c r="W4" s="79"/>
      <c r="X4" s="17"/>
      <c r="Y4" s="17"/>
      <c r="Z4" s="17"/>
      <c r="AA4" s="17"/>
      <c r="AB4" s="17"/>
    </row>
    <row r="5" spans="1:30" ht="6" customHeight="1" thickBot="1" x14ac:dyDescent="0.4">
      <c r="B5" s="29"/>
      <c r="C5" s="30"/>
      <c r="D5" s="29"/>
      <c r="E5" s="29"/>
      <c r="F5" s="30"/>
      <c r="G5" s="29"/>
      <c r="H5" s="30"/>
      <c r="I5" s="17"/>
      <c r="J5" s="79"/>
      <c r="K5" s="79"/>
      <c r="L5" s="79"/>
      <c r="M5" s="17"/>
      <c r="N5" s="17"/>
      <c r="O5" s="17"/>
      <c r="P5" s="17"/>
      <c r="Q5" s="17"/>
      <c r="R5" s="79"/>
      <c r="S5" s="17"/>
      <c r="T5" s="17"/>
      <c r="U5" s="17"/>
      <c r="V5" s="17"/>
      <c r="W5" s="79"/>
      <c r="X5" s="17"/>
      <c r="Y5" s="17"/>
      <c r="Z5" s="17"/>
      <c r="AA5" s="17"/>
      <c r="AB5" s="17"/>
    </row>
    <row r="6" spans="1:30" ht="22" customHeight="1" thickBot="1" x14ac:dyDescent="0.4">
      <c r="B6" s="202" t="s">
        <v>7</v>
      </c>
      <c r="C6" s="203"/>
      <c r="D6" s="203"/>
      <c r="E6" s="203"/>
      <c r="F6" s="200" t="s">
        <v>8</v>
      </c>
      <c r="G6" s="200"/>
      <c r="H6" s="201"/>
      <c r="I6" s="198" t="s">
        <v>9</v>
      </c>
      <c r="J6" s="198"/>
      <c r="K6" s="198"/>
      <c r="L6" s="199"/>
      <c r="M6" s="195" t="s">
        <v>10</v>
      </c>
      <c r="N6" s="196"/>
      <c r="O6" s="197"/>
      <c r="P6" s="192" t="s">
        <v>11</v>
      </c>
      <c r="Q6" s="193"/>
      <c r="R6" s="193"/>
      <c r="S6" s="193"/>
      <c r="T6" s="194"/>
      <c r="U6" s="189" t="s">
        <v>12</v>
      </c>
      <c r="V6" s="190"/>
      <c r="W6" s="190"/>
      <c r="X6" s="190"/>
      <c r="Y6" s="191"/>
      <c r="Z6" s="186" t="s">
        <v>13</v>
      </c>
      <c r="AA6" s="187"/>
      <c r="AB6" s="188"/>
    </row>
    <row r="7" spans="1:30" s="22" customFormat="1" ht="60" customHeight="1" thickBot="1" x14ac:dyDescent="0.4">
      <c r="B7" s="48" t="s">
        <v>14</v>
      </c>
      <c r="C7" s="49" t="s">
        <v>15</v>
      </c>
      <c r="D7" s="49" t="s">
        <v>16</v>
      </c>
      <c r="E7" s="49" t="s">
        <v>17</v>
      </c>
      <c r="F7" s="10" t="s">
        <v>18</v>
      </c>
      <c r="G7" s="10" t="s">
        <v>19</v>
      </c>
      <c r="H7" s="45" t="s">
        <v>20</v>
      </c>
      <c r="I7" s="11" t="s">
        <v>21</v>
      </c>
      <c r="J7" s="80" t="s">
        <v>22</v>
      </c>
      <c r="K7" s="80" t="s">
        <v>23</v>
      </c>
      <c r="L7" s="80" t="s">
        <v>1324</v>
      </c>
      <c r="M7" s="12" t="s">
        <v>24</v>
      </c>
      <c r="N7" s="12" t="s">
        <v>25</v>
      </c>
      <c r="O7" s="12" t="s">
        <v>26</v>
      </c>
      <c r="P7" s="38" t="s">
        <v>27</v>
      </c>
      <c r="Q7" s="38" t="s">
        <v>28</v>
      </c>
      <c r="R7" s="77" t="s">
        <v>29</v>
      </c>
      <c r="S7" s="16" t="s">
        <v>30</v>
      </c>
      <c r="T7" s="16" t="s">
        <v>31</v>
      </c>
      <c r="U7" s="54" t="s">
        <v>32</v>
      </c>
      <c r="V7" s="54" t="s">
        <v>33</v>
      </c>
      <c r="W7" s="78" t="s">
        <v>34</v>
      </c>
      <c r="X7" s="13" t="s">
        <v>35</v>
      </c>
      <c r="Y7" s="13" t="s">
        <v>36</v>
      </c>
      <c r="Z7" s="55" t="s">
        <v>37</v>
      </c>
      <c r="AA7" s="14" t="s">
        <v>38</v>
      </c>
      <c r="AB7" s="15" t="s">
        <v>39</v>
      </c>
      <c r="AC7" s="10" t="s">
        <v>40</v>
      </c>
      <c r="AD7" s="10" t="s">
        <v>41</v>
      </c>
    </row>
    <row r="8" spans="1:30" ht="48" hidden="1" x14ac:dyDescent="0.35">
      <c r="B8" s="41" t="s">
        <v>54</v>
      </c>
      <c r="C8" s="50" t="s">
        <v>55</v>
      </c>
      <c r="D8" s="41" t="s">
        <v>56</v>
      </c>
      <c r="E8" s="39"/>
      <c r="F8" s="65" t="str">
        <f ca="1">IF(Tableau3[[#This Row],[Date d''expiration ]]&gt;TODAY()+31,"✅",IF(Tableau3[[#This Row],[Date d''expiration ]]&gt; TODAY()+1, "⚠️","⛔️"))</f>
        <v>✅</v>
      </c>
      <c r="G8" s="6">
        <f t="shared" ref="G8:G16" si="0">MIN(T8,Y8,AB8)</f>
        <v>46311</v>
      </c>
      <c r="H8" s="40" t="str">
        <f ca="1">IF( Tableau3[[#This Row],[Date d''expiration ]]&gt;TODAY(),"Néant","Cas à justifier")</f>
        <v>Néant</v>
      </c>
      <c r="I8" s="20">
        <v>31590</v>
      </c>
      <c r="J8" s="75">
        <f t="shared" ref="J8:J16" ca="1" si="1">YEARFRAC(I8,TODAY(),1)</f>
        <v>40.195058430717864</v>
      </c>
      <c r="K8" s="75">
        <f>YEARFRAC(I8,RG_DRH_S1_008!$E$4,1)</f>
        <v>39.512662559890487</v>
      </c>
      <c r="L8" s="75">
        <f>YEARFRAC(I8,RG_DRH_S1_008!$E$5,1)</f>
        <v>40.512654424040065</v>
      </c>
      <c r="M8" s="3" t="s">
        <v>44</v>
      </c>
      <c r="N8" s="3" t="s">
        <v>57</v>
      </c>
      <c r="O8" s="3" t="s">
        <v>58</v>
      </c>
      <c r="P8" s="42">
        <v>46197</v>
      </c>
      <c r="Q8" s="41" t="s">
        <v>47</v>
      </c>
      <c r="R8" s="76">
        <f t="shared" ref="R8:R16" si="2">YEARFRAC(I8,P8,1)</f>
        <v>39.992454090150247</v>
      </c>
      <c r="S8" s="19" t="str">
        <f>IF(L8&lt;40,"4",IF(L8&lt;50,"3",IF(L8&lt;55,IF(Tableau3[[#This Row],[Fonction]]="Conducteur de ligne","2","3"),"1")))</f>
        <v>3</v>
      </c>
      <c r="T8" s="6">
        <f t="shared" ref="T8:T16" si="3">EDATE(P8, (12*S8))</f>
        <v>47293</v>
      </c>
      <c r="U8" s="42">
        <v>45628</v>
      </c>
      <c r="V8" s="41" t="s">
        <v>48</v>
      </c>
      <c r="W8" s="75">
        <f t="shared" ref="W8:W16" si="4">YEARFRAC(I8,U8,1)</f>
        <v>38.43327483327483</v>
      </c>
      <c r="X8" s="6" t="str">
        <f>IF(L8&lt;40,"4",IF(L8&lt;55,"3",IF(Tableau3[[#This Row],[Fonction]]="conducteur de ligne","1","2")))</f>
        <v>3</v>
      </c>
      <c r="Y8" s="6">
        <f t="shared" ref="Y8:Y14" si="5">EDATE(U8, (12*X8))</f>
        <v>46723</v>
      </c>
      <c r="Z8" s="42">
        <v>45946</v>
      </c>
      <c r="AA8" s="3" t="str">
        <f ca="1">IF(Tableau3[[#This Row],[Date prochaine évaluation]]&gt; TODAY(),"Réussi","Examen expiré")</f>
        <v>Réussi</v>
      </c>
      <c r="AB8" s="6">
        <f t="shared" ref="AB8:AB16" si="6">EDATE(Z8, 12)</f>
        <v>46311</v>
      </c>
      <c r="AC8" s="46" t="e">
        <f t="shared" ref="AC8:AC27" ca="1" si="7">EDATE(AA8, 12)</f>
        <v>#VALUE!</v>
      </c>
      <c r="AD8" s="143"/>
    </row>
    <row r="9" spans="1:30" ht="48" hidden="1" x14ac:dyDescent="0.35">
      <c r="B9" s="41" t="s">
        <v>64</v>
      </c>
      <c r="C9" s="51" t="s">
        <v>65</v>
      </c>
      <c r="D9" s="41" t="s">
        <v>56</v>
      </c>
      <c r="E9" s="39"/>
      <c r="F9" s="65" t="str">
        <f ca="1">IF(Tableau3[[#This Row],[Date d''expiration ]]&gt;TODAY()+31,"✅",IF(Tableau3[[#This Row],[Date d''expiration ]]&gt; TODAY()+1, "⚠️","⛔️"))</f>
        <v>✅</v>
      </c>
      <c r="G9" s="6">
        <f t="shared" si="0"/>
        <v>46494</v>
      </c>
      <c r="H9" s="40" t="str">
        <f ca="1">IF( Tableau3[[#This Row],[Date d''expiration ]]&gt;TODAY(),"Néant","Cas à justifier")</f>
        <v>Néant</v>
      </c>
      <c r="I9" s="32">
        <v>34164</v>
      </c>
      <c r="J9" s="75">
        <f t="shared" ca="1" si="1"/>
        <v>33.14849412143662</v>
      </c>
      <c r="K9" s="75">
        <f>YEARFRAC(I9,RG_DRH_S1_008!$E$4,1)</f>
        <v>32.466108022898865</v>
      </c>
      <c r="L9" s="75">
        <f>YEARFRAC(I9,RG_DRH_S1_008!$E$5,1)</f>
        <v>33.46609760025769</v>
      </c>
      <c r="M9" s="3" t="s">
        <v>44</v>
      </c>
      <c r="N9" s="3" t="s">
        <v>45</v>
      </c>
      <c r="O9" s="3" t="s">
        <v>58</v>
      </c>
      <c r="P9" s="42">
        <v>45831</v>
      </c>
      <c r="Q9" s="41" t="s">
        <v>47</v>
      </c>
      <c r="R9" s="76">
        <f t="shared" si="2"/>
        <v>31.943167676097236</v>
      </c>
      <c r="S9" s="19" t="str">
        <f>IF(L9&lt;40,"4",IF(L9&lt;50,"3",IF(L9&lt;55,IF(Tableau3[[#This Row],[Fonction]]="Conducteur de ligne","2","3"),"1")))</f>
        <v>4</v>
      </c>
      <c r="T9" s="6">
        <f t="shared" si="3"/>
        <v>47292</v>
      </c>
      <c r="U9" s="42">
        <v>45033</v>
      </c>
      <c r="V9" s="41" t="s">
        <v>48</v>
      </c>
      <c r="W9" s="75">
        <f t="shared" si="4"/>
        <v>29.759671436142021</v>
      </c>
      <c r="X9" s="6" t="str">
        <f>IF(L9&lt;40,"4",IF(L9&lt;55,"3",IF(Tableau3[[#This Row],[Fonction]]="conducteur de ligne","1","2")))</f>
        <v>4</v>
      </c>
      <c r="Y9" s="6">
        <f t="shared" si="5"/>
        <v>46494</v>
      </c>
      <c r="Z9" s="42">
        <v>46206</v>
      </c>
      <c r="AA9" s="3" t="str">
        <f ca="1">IF(Tableau3[[#This Row],[Date prochaine évaluation]]&gt; TODAY(),"Réussi","Examen expiré")</f>
        <v>Réussi</v>
      </c>
      <c r="AB9" s="6">
        <f t="shared" si="6"/>
        <v>46571</v>
      </c>
      <c r="AC9" s="46" t="e">
        <f t="shared" ca="1" si="7"/>
        <v>#VALUE!</v>
      </c>
      <c r="AD9" s="143"/>
    </row>
    <row r="10" spans="1:30" ht="48" hidden="1" x14ac:dyDescent="0.35">
      <c r="B10" s="41" t="s">
        <v>67</v>
      </c>
      <c r="C10" s="52" t="s">
        <v>68</v>
      </c>
      <c r="D10" s="41" t="s">
        <v>56</v>
      </c>
      <c r="E10" s="39"/>
      <c r="F10" s="65" t="str">
        <f ca="1">IF(Tableau3[[#This Row],[Date d''expiration ]]&gt;TODAY()+31,"✅",IF(Tableau3[[#This Row],[Date d''expiration ]]&gt; TODAY()+1, "⚠️","⛔️"))</f>
        <v>✅</v>
      </c>
      <c r="G10" s="6">
        <f t="shared" si="0"/>
        <v>46313</v>
      </c>
      <c r="H10" s="40" t="str">
        <f ca="1">IF( Tableau3[[#This Row],[Date d''expiration ]]&gt;TODAY(),"Néant","Cas à justifier")</f>
        <v>Néant</v>
      </c>
      <c r="I10" s="21">
        <v>30812</v>
      </c>
      <c r="J10" s="75">
        <f t="shared" ca="1" si="1"/>
        <v>42.323761619763147</v>
      </c>
      <c r="K10" s="75">
        <f>YEARFRAC(I10,RG_DRH_S1_008!$E$4,1)</f>
        <v>41.641353236425267</v>
      </c>
      <c r="L10" s="75">
        <f>YEARFRAC(I10,RG_DRH_S1_008!$E$5,1)</f>
        <v>42.641347255825799</v>
      </c>
      <c r="M10" s="3" t="s">
        <v>44</v>
      </c>
      <c r="N10" s="3" t="s">
        <v>69</v>
      </c>
      <c r="O10" s="3" t="s">
        <v>58</v>
      </c>
      <c r="P10" s="42">
        <v>46062</v>
      </c>
      <c r="Q10" s="41" t="s">
        <v>47</v>
      </c>
      <c r="R10" s="76">
        <f t="shared" si="2"/>
        <v>41.75155991340889</v>
      </c>
      <c r="S10" s="19" t="str">
        <f>IF(L10&lt;40,"4",IF(L10&lt;50,"3",IF(L10&lt;55,IF(Tableau3[[#This Row],[Fonction]]="Conducteur de ligne","2","3"),"1")))</f>
        <v>3</v>
      </c>
      <c r="T10" s="6">
        <f t="shared" si="3"/>
        <v>47158</v>
      </c>
      <c r="U10" s="42">
        <v>45379</v>
      </c>
      <c r="V10" s="41" t="s">
        <v>48</v>
      </c>
      <c r="W10" s="75">
        <f t="shared" si="4"/>
        <v>39.880275106837608</v>
      </c>
      <c r="X10" s="6" t="str">
        <f>IF(L10&lt;40,"4",IF(L10&lt;55,"3",IF(Tableau3[[#This Row],[Fonction]]="conducteur de ligne","1","2")))</f>
        <v>3</v>
      </c>
      <c r="Y10" s="6">
        <f t="shared" si="5"/>
        <v>46474</v>
      </c>
      <c r="Z10" s="42">
        <v>45948</v>
      </c>
      <c r="AA10" s="3" t="str">
        <f ca="1">IF(Tableau3[[#This Row],[Date prochaine évaluation]]&gt; TODAY(),"Réussi","Examen expiré")</f>
        <v>Réussi</v>
      </c>
      <c r="AB10" s="6">
        <f t="shared" si="6"/>
        <v>46313</v>
      </c>
      <c r="AC10" s="46" t="e">
        <f t="shared" ca="1" si="7"/>
        <v>#VALUE!</v>
      </c>
      <c r="AD10" s="143"/>
    </row>
    <row r="11" spans="1:30" ht="64" hidden="1" x14ac:dyDescent="0.35">
      <c r="B11" s="41" t="s">
        <v>70</v>
      </c>
      <c r="C11" s="50" t="s">
        <v>71</v>
      </c>
      <c r="D11" s="41" t="s">
        <v>56</v>
      </c>
      <c r="E11" s="39"/>
      <c r="F11" s="65" t="str">
        <f ca="1">IF(Tableau3[[#This Row],[Date d''expiration ]]&gt;TODAY()+31,"✅",IF(Tableau3[[#This Row],[Date d''expiration ]]&gt; TODAY()+1, "⚠️","⛔️"))</f>
        <v>✅</v>
      </c>
      <c r="G11" s="6">
        <f t="shared" si="0"/>
        <v>46482</v>
      </c>
      <c r="H11" s="40" t="str">
        <f ca="1">IF( Tableau3[[#This Row],[Date d''expiration ]]&gt;TODAY(),"Néant","Cas à justifier")</f>
        <v>Néant</v>
      </c>
      <c r="I11" s="20">
        <v>34183</v>
      </c>
      <c r="J11" s="75">
        <f t="shared" ca="1" si="1"/>
        <v>33.096472861974554</v>
      </c>
      <c r="K11" s="75">
        <f>YEARFRAC(I11,RG_DRH_S1_008!$E$4,1)</f>
        <v>32.414087778976189</v>
      </c>
      <c r="L11" s="75">
        <f>YEARFRAC(I11,RG_DRH_S1_008!$E$5,1)</f>
        <v>33.414076340795617</v>
      </c>
      <c r="M11" s="3" t="s">
        <v>44</v>
      </c>
      <c r="N11" s="3" t="s">
        <v>72</v>
      </c>
      <c r="O11" s="3" t="s">
        <v>73</v>
      </c>
      <c r="P11" s="42">
        <v>45021</v>
      </c>
      <c r="Q11" s="41" t="s">
        <v>47</v>
      </c>
      <c r="R11" s="76">
        <f t="shared" si="2"/>
        <v>29.674792439498319</v>
      </c>
      <c r="S11" s="19" t="str">
        <f>IF(L11&lt;40,"4",IF(L11&lt;50,"3",IF(L11&lt;55,IF(Tableau3[[#This Row],[Fonction]]="Conducteur de ligne","2","3"),"1")))</f>
        <v>4</v>
      </c>
      <c r="T11" s="6">
        <f t="shared" si="3"/>
        <v>46482</v>
      </c>
      <c r="U11" s="42">
        <v>45982</v>
      </c>
      <c r="V11" s="41" t="s">
        <v>48</v>
      </c>
      <c r="W11" s="75">
        <f t="shared" si="4"/>
        <v>32.304571475981085</v>
      </c>
      <c r="X11" s="6" t="str">
        <f>IF(L11&lt;40,"4",IF(L11&lt;55,"3",IF(Tableau3[[#This Row],[Fonction]]="conducteur de ligne","1","2")))</f>
        <v>4</v>
      </c>
      <c r="Y11" s="6">
        <f t="shared" si="5"/>
        <v>47443</v>
      </c>
      <c r="Z11" s="42">
        <v>46145</v>
      </c>
      <c r="AA11" s="3" t="str">
        <f ca="1">IF(Tableau3[[#This Row],[Date prochaine évaluation]]&gt; TODAY(),"Réussi","Examen expiré")</f>
        <v>Réussi</v>
      </c>
      <c r="AB11" s="6">
        <f t="shared" si="6"/>
        <v>46510</v>
      </c>
      <c r="AC11" s="46" t="e">
        <f t="shared" ca="1" si="7"/>
        <v>#VALUE!</v>
      </c>
      <c r="AD11" s="143"/>
    </row>
    <row r="12" spans="1:30" ht="48" hidden="1" x14ac:dyDescent="0.35">
      <c r="B12" s="41" t="s">
        <v>74</v>
      </c>
      <c r="C12" s="50" t="s">
        <v>75</v>
      </c>
      <c r="D12" s="41" t="s">
        <v>56</v>
      </c>
      <c r="E12" s="39"/>
      <c r="F12" s="65" t="str">
        <f ca="1">IF(Tableau3[[#This Row],[Date d''expiration ]]&gt;TODAY()+31,"✅",IF(Tableau3[[#This Row],[Date d''expiration ]]&gt; TODAY()+1, "⚠️","⛔️"))</f>
        <v>✅</v>
      </c>
      <c r="G12" s="6">
        <f t="shared" si="0"/>
        <v>46343</v>
      </c>
      <c r="H12" s="40" t="str">
        <f ca="1">IF( Tableau3[[#This Row],[Date d''expiration ]]&gt;TODAY(),"Néant","Cas à justifier")</f>
        <v>Néant</v>
      </c>
      <c r="I12" s="20">
        <v>32263</v>
      </c>
      <c r="J12" s="75">
        <f t="shared" ca="1" si="1"/>
        <v>38.351140751140747</v>
      </c>
      <c r="K12" s="75">
        <f>YEARFRAC(I12,RG_DRH_S1_008!$E$4,1)</f>
        <v>37.668731988472622</v>
      </c>
      <c r="L12" s="75">
        <f>YEARFRAC(I12,RG_DRH_S1_008!$E$5,1)</f>
        <v>38.668725868725865</v>
      </c>
      <c r="M12" s="3" t="s">
        <v>44</v>
      </c>
      <c r="N12" s="3" t="s">
        <v>57</v>
      </c>
      <c r="O12" s="3" t="s">
        <v>58</v>
      </c>
      <c r="P12" s="42">
        <v>45776</v>
      </c>
      <c r="Q12" s="41" t="s">
        <v>47</v>
      </c>
      <c r="R12" s="76">
        <f t="shared" si="2"/>
        <v>36.995244956772339</v>
      </c>
      <c r="S12" s="19" t="str">
        <f>IF(L12&lt;40,"4",IF(L12&lt;50,"3",IF(L12&lt;55,IF(Tableau3[[#This Row],[Fonction]]="Conducteur de ligne","2","3"),"1")))</f>
        <v>4</v>
      </c>
      <c r="T12" s="6">
        <f t="shared" si="3"/>
        <v>47237</v>
      </c>
      <c r="U12" s="42">
        <v>45775</v>
      </c>
      <c r="V12" s="41" t="s">
        <v>48</v>
      </c>
      <c r="W12" s="75">
        <f t="shared" si="4"/>
        <v>36.992507204610952</v>
      </c>
      <c r="X12" s="6" t="str">
        <f>IF(L12&lt;40,"4",IF(L12&lt;55,"3",IF(Tableau3[[#This Row],[Fonction]]="conducteur de ligne","1","2")))</f>
        <v>4</v>
      </c>
      <c r="Y12" s="6">
        <f t="shared" si="5"/>
        <v>47236</v>
      </c>
      <c r="Z12" s="42">
        <v>45978</v>
      </c>
      <c r="AA12" s="3" t="str">
        <f ca="1">IF(Tableau3[[#This Row],[Date prochaine évaluation]]&gt; TODAY(),"Réussi","Examen expiré")</f>
        <v>Réussi</v>
      </c>
      <c r="AB12" s="6">
        <f t="shared" si="6"/>
        <v>46343</v>
      </c>
      <c r="AC12" s="46" t="e">
        <f t="shared" ca="1" si="7"/>
        <v>#VALUE!</v>
      </c>
      <c r="AD12" s="143"/>
    </row>
    <row r="13" spans="1:30" ht="48" hidden="1" x14ac:dyDescent="0.35">
      <c r="B13" s="41" t="s">
        <v>76</v>
      </c>
      <c r="C13" s="41" t="s">
        <v>77</v>
      </c>
      <c r="D13" s="41" t="s">
        <v>56</v>
      </c>
      <c r="E13" s="39"/>
      <c r="F13" s="65" t="str">
        <f ca="1">IF(Tableau3[[#This Row],[Date d''expiration ]]&gt;TODAY()+31,"✅",IF(Tableau3[[#This Row],[Date d''expiration ]]&gt; TODAY()+1, "⚠️","⛔️"))</f>
        <v>✅</v>
      </c>
      <c r="G13" s="6">
        <f t="shared" si="0"/>
        <v>46468</v>
      </c>
      <c r="H13" s="40" t="str">
        <f ca="1">IF( Tableau3[[#This Row],[Date d''expiration ]]&gt;TODAY(),"Néant","Cas à justifier")</f>
        <v>Néant</v>
      </c>
      <c r="I13" s="32">
        <v>33826</v>
      </c>
      <c r="J13" s="75">
        <f t="shared" ca="1" si="1"/>
        <v>34.071886733416768</v>
      </c>
      <c r="K13" s="75">
        <f>YEARFRAC(I13,RG_DRH_S1_008!$E$4,1)</f>
        <v>33.389483855382885</v>
      </c>
      <c r="L13" s="75">
        <f>YEARFRAC(I13,RG_DRH_S1_008!$E$5,1)</f>
        <v>34.389471214017519</v>
      </c>
      <c r="M13" s="3" t="s">
        <v>44</v>
      </c>
      <c r="N13" s="3" t="s">
        <v>72</v>
      </c>
      <c r="O13" s="3" t="s">
        <v>58</v>
      </c>
      <c r="P13" s="42">
        <v>45167</v>
      </c>
      <c r="Q13" s="41" t="s">
        <v>47</v>
      </c>
      <c r="R13" s="76">
        <f t="shared" si="2"/>
        <v>31.049965776865161</v>
      </c>
      <c r="S13" s="19" t="str">
        <f>IF(L13&lt;40,"4",IF(L13&lt;50,"3",IF(L13&lt;55,IF(Tableau3[[#This Row],[Fonction]]="Conducteur de ligne","2","3"),"1")))</f>
        <v>4</v>
      </c>
      <c r="T13" s="6">
        <f t="shared" si="3"/>
        <v>46628</v>
      </c>
      <c r="U13" s="42">
        <v>45167</v>
      </c>
      <c r="V13" s="41" t="s">
        <v>48</v>
      </c>
      <c r="W13" s="75">
        <f t="shared" si="4"/>
        <v>31.049965776865161</v>
      </c>
      <c r="X13" s="6" t="str">
        <f>IF(L13&lt;40,"4",IF(L13&lt;55,"3",IF(Tableau3[[#This Row],[Fonction]]="conducteur de ligne","1","2")))</f>
        <v>4</v>
      </c>
      <c r="Y13" s="6">
        <f t="shared" si="5"/>
        <v>46628</v>
      </c>
      <c r="Z13" s="42">
        <v>46103</v>
      </c>
      <c r="AA13" s="3" t="str">
        <f ca="1">IF(Tableau3[[#This Row],[Date prochaine évaluation]]&gt; TODAY(),"Réussi","Examen expiré")</f>
        <v>Réussi</v>
      </c>
      <c r="AB13" s="6">
        <f t="shared" si="6"/>
        <v>46468</v>
      </c>
      <c r="AC13" s="46" t="e">
        <f t="shared" ca="1" si="7"/>
        <v>#VALUE!</v>
      </c>
      <c r="AD13" s="143"/>
    </row>
    <row r="14" spans="1:30" ht="34.5" hidden="1" x14ac:dyDescent="0.35">
      <c r="B14" s="41" t="s">
        <v>78</v>
      </c>
      <c r="C14" s="52" t="s">
        <v>79</v>
      </c>
      <c r="D14" s="41" t="s">
        <v>56</v>
      </c>
      <c r="E14" s="39"/>
      <c r="F14" s="65" t="str">
        <f ca="1">IF(Tableau3[[#This Row],[Date d''expiration ]]&gt;TODAY()+31,"✅",IF(Tableau3[[#This Row],[Date d''expiration ]]&gt; TODAY()+1, "⚠️","⛔️"))</f>
        <v>✅</v>
      </c>
      <c r="G14" s="6">
        <f t="shared" si="0"/>
        <v>46336</v>
      </c>
      <c r="H14" s="40" t="str">
        <f ca="1">IF( Tableau3[[#This Row],[Date d''expiration ]]&gt;TODAY(),"Néant","Cas à justifier")</f>
        <v>Néant</v>
      </c>
      <c r="I14" s="21">
        <v>32487</v>
      </c>
      <c r="J14" s="75">
        <f t="shared" ca="1" si="1"/>
        <v>37.737872937872936</v>
      </c>
      <c r="K14" s="75">
        <f>YEARFRAC(I14,RG_DRH_S1_008!$E$4,1)</f>
        <v>37.055475504322771</v>
      </c>
      <c r="L14" s="75">
        <f>YEARFRAC(I14,RG_DRH_S1_008!$E$5,1)</f>
        <v>38.055458055458054</v>
      </c>
      <c r="M14" s="3" t="s">
        <v>44</v>
      </c>
      <c r="N14" s="3" t="s">
        <v>80</v>
      </c>
      <c r="O14" s="3" t="s">
        <v>81</v>
      </c>
      <c r="P14" s="42">
        <v>45845</v>
      </c>
      <c r="Q14" s="41" t="s">
        <v>47</v>
      </c>
      <c r="R14" s="76">
        <f t="shared" si="2"/>
        <v>36.570893371757926</v>
      </c>
      <c r="S14" s="19" t="str">
        <f>IF(L14&lt;40,"4",IF(L14&lt;50,"3",IF(L14&lt;55,IF(Tableau3[[#This Row],[Fonction]]="Conducteur de ligne","2","3"),"1")))</f>
        <v>4</v>
      </c>
      <c r="T14" s="6">
        <f t="shared" si="3"/>
        <v>47306</v>
      </c>
      <c r="U14" s="6">
        <v>45594</v>
      </c>
      <c r="V14" s="41" t="s">
        <v>48</v>
      </c>
      <c r="W14" s="75">
        <f t="shared" si="4"/>
        <v>35.883018867924527</v>
      </c>
      <c r="X14" s="6" t="str">
        <f>IF(L14&lt;40,"4",IF(L14&lt;55,"3",IF(Tableau3[[#This Row],[Fonction]]="conducteur de ligne","1","2")))</f>
        <v>4</v>
      </c>
      <c r="Y14" s="6">
        <f t="shared" si="5"/>
        <v>47055</v>
      </c>
      <c r="Z14" s="42">
        <v>45971</v>
      </c>
      <c r="AA14" s="3" t="str">
        <f ca="1">IF(Tableau3[[#This Row],[Date prochaine évaluation]]&gt; TODAY(),"Réussi","Examen expiré")</f>
        <v>Réussi</v>
      </c>
      <c r="AB14" s="6">
        <f t="shared" si="6"/>
        <v>46336</v>
      </c>
      <c r="AC14" s="46" t="e">
        <f t="shared" ca="1" si="7"/>
        <v>#VALUE!</v>
      </c>
      <c r="AD14" s="143"/>
    </row>
    <row r="15" spans="1:30" s="165" customFormat="1" ht="48" hidden="1" x14ac:dyDescent="0.4">
      <c r="B15" s="53" t="s">
        <v>83</v>
      </c>
      <c r="C15" s="53" t="s">
        <v>84</v>
      </c>
      <c r="D15" s="53" t="s">
        <v>56</v>
      </c>
      <c r="E15" s="166"/>
      <c r="F15" s="167" t="str">
        <f ca="1">IF(Tableau3[[#This Row],[Date d''expiration ]]&gt;TODAY()+31,"✅",IF(Tableau3[[#This Row],[Date d''expiration ]]&gt; TODAY()+1, "⚠️","⛔️"))</f>
        <v>⛔️</v>
      </c>
      <c r="G15" s="7">
        <f t="shared" si="0"/>
        <v>46038</v>
      </c>
      <c r="H15" s="174" t="s">
        <v>85</v>
      </c>
      <c r="I15" s="7">
        <v>33476</v>
      </c>
      <c r="J15" s="168">
        <f t="shared" ca="1" si="1"/>
        <v>35.030800821355236</v>
      </c>
      <c r="K15" s="168">
        <f>YEARFRAC(I15,RG_DRH_S1_008!$E$4,1)</f>
        <v>34.348404255319146</v>
      </c>
      <c r="L15" s="168">
        <f>YEARFRAC(I15,RG_DRH_S1_008!$E$5,1)</f>
        <v>35.348391512662559</v>
      </c>
      <c r="M15" s="4" t="s">
        <v>85</v>
      </c>
      <c r="N15" s="4" t="s">
        <v>86</v>
      </c>
      <c r="O15" s="4" t="s">
        <v>58</v>
      </c>
      <c r="P15" s="169">
        <v>45630</v>
      </c>
      <c r="Q15" s="53" t="s">
        <v>47</v>
      </c>
      <c r="R15" s="170">
        <f t="shared" si="2"/>
        <v>33.274498751912397</v>
      </c>
      <c r="S15" s="171" t="str">
        <f>IF(L15&lt;40,"4",IF(L15&lt;50,"3",IF(L15&lt;55,IF(Tableau3[[#This Row],[Fonction]]="Conducteur de ligne","2","3"),"1")))</f>
        <v>4</v>
      </c>
      <c r="T15" s="7">
        <f t="shared" si="3"/>
        <v>47091</v>
      </c>
      <c r="U15" s="169">
        <v>44966</v>
      </c>
      <c r="V15" s="53" t="s">
        <v>48</v>
      </c>
      <c r="W15" s="168">
        <f t="shared" si="4"/>
        <v>31.458558035343898</v>
      </c>
      <c r="X15" s="7" t="str">
        <f>IF(L15&lt;40,"4",IF(L15&lt;55,"3",IF(Tableau3[[#This Row],[Fonction]]="conducteur de ligne","1","2")))</f>
        <v>4</v>
      </c>
      <c r="Y15" s="7">
        <f t="shared" ref="Y15:Y24" si="8">EDATE(U15, (12*X15))</f>
        <v>46427</v>
      </c>
      <c r="Z15" s="169">
        <v>45673</v>
      </c>
      <c r="AA15" s="4" t="str">
        <f ca="1">IF(Tableau3[[#This Row],[Date prochaine évaluation]]&gt; TODAY(),"Réussi","Examen expiré")</f>
        <v>Examen expiré</v>
      </c>
      <c r="AB15" s="7">
        <f t="shared" si="6"/>
        <v>46038</v>
      </c>
      <c r="AC15" s="172" t="e">
        <f t="shared" ca="1" si="7"/>
        <v>#VALUE!</v>
      </c>
      <c r="AD15" s="173"/>
    </row>
    <row r="16" spans="1:30" ht="48" hidden="1" x14ac:dyDescent="0.35">
      <c r="A16" s="106"/>
      <c r="B16" s="41" t="s">
        <v>87</v>
      </c>
      <c r="C16" s="52" t="s">
        <v>88</v>
      </c>
      <c r="D16" s="41" t="s">
        <v>56</v>
      </c>
      <c r="E16" s="39"/>
      <c r="F16" s="65" t="str">
        <f ca="1">IF(Tableau3[[#This Row],[Date d''expiration ]]&gt;TODAY()+31,"✅",IF(Tableau3[[#This Row],[Date d''expiration ]]&gt; TODAY()+1, "⚠️","⛔️"))</f>
        <v>⛔️</v>
      </c>
      <c r="G16" s="6">
        <f t="shared" si="0"/>
        <v>45742</v>
      </c>
      <c r="H16" s="177"/>
      <c r="I16" s="21">
        <v>35023</v>
      </c>
      <c r="J16" s="75">
        <f t="shared" ca="1" si="1"/>
        <v>30.795345653661876</v>
      </c>
      <c r="K16" s="75">
        <f>YEARFRAC(I16,RG_DRH_S1_008!$E$4,1)</f>
        <v>30.112955930407136</v>
      </c>
      <c r="L16" s="75">
        <f>YEARFRAC(I16,RG_DRH_S1_008!$E$5,1)</f>
        <v>31.112936344969199</v>
      </c>
      <c r="M16" s="3" t="s">
        <v>44</v>
      </c>
      <c r="N16" s="3" t="s">
        <v>45</v>
      </c>
      <c r="O16" s="3" t="s">
        <v>58</v>
      </c>
      <c r="P16" s="42">
        <v>45938</v>
      </c>
      <c r="Q16" s="41" t="s">
        <v>47</v>
      </c>
      <c r="R16" s="76">
        <f t="shared" si="2"/>
        <v>29.882981541994173</v>
      </c>
      <c r="S16" s="19" t="str">
        <f>IF(L16&lt;40,"4",IF(L16&lt;50,"3",IF(L16&lt;55,IF(Tableau3[[#This Row],[Fonction]]="Conducteur de ligne","2","3"),"1")))</f>
        <v>4</v>
      </c>
      <c r="T16" s="6">
        <f t="shared" si="3"/>
        <v>47399</v>
      </c>
      <c r="U16" s="42">
        <v>45938</v>
      </c>
      <c r="V16" s="41" t="s">
        <v>48</v>
      </c>
      <c r="W16" s="75">
        <f t="shared" si="4"/>
        <v>29.882981541994173</v>
      </c>
      <c r="X16" s="6" t="str">
        <f>IF(L16&lt;40,"4",IF(L16&lt;55,"3",IF(Tableau3[[#This Row],[Fonction]]="conducteur de ligne","1","2")))</f>
        <v>4</v>
      </c>
      <c r="Y16" s="6">
        <f t="shared" si="8"/>
        <v>47399</v>
      </c>
      <c r="Z16" s="42">
        <v>45377</v>
      </c>
      <c r="AA16" s="3" t="str">
        <f ca="1">IF(Tableau3[[#This Row],[Date prochaine évaluation]]&gt; TODAY(),"Réussi","Examen expiré")</f>
        <v>Examen expiré</v>
      </c>
      <c r="AB16" s="6">
        <f t="shared" si="6"/>
        <v>45742</v>
      </c>
      <c r="AC16" s="46" t="e">
        <f t="shared" ca="1" si="7"/>
        <v>#VALUE!</v>
      </c>
      <c r="AD16" s="143"/>
    </row>
    <row r="17" spans="2:30" ht="48" hidden="1" x14ac:dyDescent="0.35">
      <c r="B17" s="41" t="s">
        <v>92</v>
      </c>
      <c r="C17" s="53" t="s">
        <v>93</v>
      </c>
      <c r="D17" s="41" t="s">
        <v>56</v>
      </c>
      <c r="E17" s="39"/>
      <c r="F17" s="65" t="str">
        <f ca="1">IF(Tableau3[[#This Row],[Date d''expiration ]]&gt;TODAY()+31,"✅",IF(Tableau3[[#This Row],[Date d''expiration ]]&gt; TODAY()+1, "⚠️","⛔️"))</f>
        <v>⛔️</v>
      </c>
      <c r="G17" s="6">
        <f t="shared" ref="G17:G27" si="9">MIN(T17,Y17,AB17)</f>
        <v>46153</v>
      </c>
      <c r="H17" s="40" t="str">
        <f ca="1">IF( Tableau3[[#This Row],[Date d''expiration ]]&gt;TODAY(),"Néant","Cas à justifier")</f>
        <v>Cas à justifier</v>
      </c>
      <c r="I17" s="7">
        <v>34513</v>
      </c>
      <c r="J17" s="75">
        <f t="shared" ref="J17:J27" ca="1" si="10">YEARFRAC(I17,TODAY(),1)</f>
        <v>32.192317265411099</v>
      </c>
      <c r="K17" s="75">
        <f>YEARFRAC(I17,RG_DRH_S1_008!$E$4,1)</f>
        <v>31.509924709103355</v>
      </c>
      <c r="L17" s="75">
        <f>YEARFRAC(I17,RG_DRH_S1_008!$E$5,1)</f>
        <v>32.509914544096908</v>
      </c>
      <c r="M17" s="3" t="s">
        <v>44</v>
      </c>
      <c r="N17" s="3" t="s">
        <v>45</v>
      </c>
      <c r="O17" s="3" t="s">
        <v>58</v>
      </c>
      <c r="P17" s="42">
        <v>45537</v>
      </c>
      <c r="Q17" s="41" t="s">
        <v>47</v>
      </c>
      <c r="R17" s="76">
        <f t="shared" ref="R17:R27" si="11">YEARFRAC(I17,P17,1)</f>
        <v>30.181400688863377</v>
      </c>
      <c r="S17" s="19" t="str">
        <f>IF(L17&lt;40,"4",IF(L17&lt;50,"3",IF(L17&lt;55,IF(Tableau3[[#This Row],[Fonction]]="Conducteur de ligne","2","3"),"1")))</f>
        <v>4</v>
      </c>
      <c r="T17" s="6">
        <f t="shared" ref="T17:T27" si="12">EDATE(P17, (12*S17))</f>
        <v>46998</v>
      </c>
      <c r="U17" s="42">
        <v>44873</v>
      </c>
      <c r="V17" s="41" t="s">
        <v>48</v>
      </c>
      <c r="W17" s="75">
        <f t="shared" ref="W17:W27" si="13">YEARFRAC(I17,U17,1)</f>
        <v>28.364803625377643</v>
      </c>
      <c r="X17" s="6" t="str">
        <f>IF(L17&lt;40,"4",IF(L17&lt;55,"3",IF(Tableau3[[#This Row],[Fonction]]="conducteur de ligne","1","2")))</f>
        <v>4</v>
      </c>
      <c r="Y17" s="6">
        <f t="shared" si="8"/>
        <v>46334</v>
      </c>
      <c r="Z17" s="42">
        <v>45788</v>
      </c>
      <c r="AA17" s="3" t="str">
        <f ca="1">IF(Tableau3[[#This Row],[Date prochaine évaluation]]&gt; TODAY(),"Réussi","Examen expiré")</f>
        <v>Examen expiré</v>
      </c>
      <c r="AB17" s="6">
        <f t="shared" ref="AB17:AB27" si="14">EDATE(Z17, 12)</f>
        <v>46153</v>
      </c>
      <c r="AC17" s="46" t="e">
        <f t="shared" ca="1" si="7"/>
        <v>#VALUE!</v>
      </c>
      <c r="AD17" s="143"/>
    </row>
    <row r="18" spans="2:30" ht="48" hidden="1" x14ac:dyDescent="0.35">
      <c r="B18" s="41" t="s">
        <v>96</v>
      </c>
      <c r="C18" s="52" t="s">
        <v>97</v>
      </c>
      <c r="D18" s="41" t="s">
        <v>56</v>
      </c>
      <c r="E18" s="39"/>
      <c r="F18" s="65" t="str">
        <f ca="1">IF(Tableau3[[#This Row],[Date d''expiration ]]&gt;TODAY()+31,"✅",IF(Tableau3[[#This Row],[Date d''expiration ]]&gt; TODAY()+1, "⚠️","⛔️"))</f>
        <v>✅</v>
      </c>
      <c r="G18" s="6">
        <f t="shared" si="9"/>
        <v>46430</v>
      </c>
      <c r="H18" s="40" t="str">
        <f ca="1">IF( Tableau3[[#This Row],[Date d''expiration ]]&gt;TODAY(),"Néant","Cas à justifier")</f>
        <v>Néant</v>
      </c>
      <c r="I18" s="21">
        <v>35797</v>
      </c>
      <c r="J18" s="75">
        <f t="shared" ca="1" si="10"/>
        <v>28.676925981873111</v>
      </c>
      <c r="K18" s="75">
        <f>YEARFRAC(I18,RG_DRH_S1_008!$E$4,1)</f>
        <v>27.994524298425734</v>
      </c>
      <c r="L18" s="75">
        <f>YEARFRAC(I18,RG_DRH_S1_008!$E$5,1)</f>
        <v>28.994524169184292</v>
      </c>
      <c r="M18" s="3" t="s">
        <v>44</v>
      </c>
      <c r="N18" s="3" t="s">
        <v>72</v>
      </c>
      <c r="O18" s="3" t="s">
        <v>58</v>
      </c>
      <c r="P18" s="42">
        <v>45649</v>
      </c>
      <c r="Q18" s="41" t="s">
        <v>47</v>
      </c>
      <c r="R18" s="76">
        <f t="shared" si="11"/>
        <v>26.972622186169136</v>
      </c>
      <c r="S18" s="19" t="str">
        <f>IF(L18&lt;40,"4",IF(L18&lt;50,"3",IF(L18&lt;55,IF(Tableau3[[#This Row],[Fonction]]="Conducteur de ligne","2","3"),"1")))</f>
        <v>4</v>
      </c>
      <c r="T18" s="6">
        <f t="shared" si="12"/>
        <v>47110</v>
      </c>
      <c r="U18" s="42">
        <v>45897</v>
      </c>
      <c r="V18" s="41" t="s">
        <v>48</v>
      </c>
      <c r="W18" s="75">
        <f t="shared" si="13"/>
        <v>27.652292950034223</v>
      </c>
      <c r="X18" s="6" t="str">
        <f>IF(L18&lt;40,"4",IF(L18&lt;55,"3",IF(Tableau3[[#This Row],[Fonction]]="conducteur de ligne","1","2")))</f>
        <v>4</v>
      </c>
      <c r="Y18" s="6">
        <f t="shared" si="8"/>
        <v>47358</v>
      </c>
      <c r="Z18" s="42">
        <v>46065</v>
      </c>
      <c r="AA18" s="3" t="str">
        <f ca="1">IF(Tableau3[[#This Row],[Date prochaine évaluation]]&gt; TODAY(),"Réussi","Examen expiré")</f>
        <v>Réussi</v>
      </c>
      <c r="AB18" s="6">
        <f t="shared" si="14"/>
        <v>46430</v>
      </c>
      <c r="AC18" s="46" t="e">
        <f t="shared" ca="1" si="7"/>
        <v>#VALUE!</v>
      </c>
      <c r="AD18" s="143"/>
    </row>
    <row r="19" spans="2:30" ht="48" hidden="1" x14ac:dyDescent="0.35">
      <c r="B19" s="41" t="s">
        <v>98</v>
      </c>
      <c r="C19" s="50" t="s">
        <v>99</v>
      </c>
      <c r="D19" s="41" t="s">
        <v>56</v>
      </c>
      <c r="E19" s="39"/>
      <c r="F19" s="65" t="str">
        <f ca="1">IF(Tableau3[[#This Row],[Date d''expiration ]]&gt;TODAY()+31,"✅",IF(Tableau3[[#This Row],[Date d''expiration ]]&gt; TODAY()+1, "⚠️","⛔️"))</f>
        <v>⛔️</v>
      </c>
      <c r="G19" s="6">
        <f t="shared" si="9"/>
        <v>46159</v>
      </c>
      <c r="H19" s="40" t="str">
        <f ca="1">IF( Tableau3[[#This Row],[Date d''expiration ]]&gt;TODAY(),"Néant","Cas à justifier")</f>
        <v>Cas à justifier</v>
      </c>
      <c r="I19" s="20">
        <v>34027</v>
      </c>
      <c r="J19" s="75">
        <f t="shared" ca="1" si="10"/>
        <v>33.523594781768402</v>
      </c>
      <c r="K19" s="75">
        <f>YEARFRAC(I19,RG_DRH_S1_008!$E$4,1)</f>
        <v>32.841201360657095</v>
      </c>
      <c r="L19" s="75">
        <f>YEARFRAC(I19,RG_DRH_S1_008!$E$5,1)</f>
        <v>33.841198260589465</v>
      </c>
      <c r="M19" s="3" t="s">
        <v>44</v>
      </c>
      <c r="N19" s="3" t="s">
        <v>72</v>
      </c>
      <c r="O19" s="3" t="s">
        <v>58</v>
      </c>
      <c r="P19" s="42">
        <v>45568</v>
      </c>
      <c r="Q19" s="41" t="s">
        <v>47</v>
      </c>
      <c r="R19" s="76">
        <f t="shared" si="11"/>
        <v>31.597535934291582</v>
      </c>
      <c r="S19" s="19" t="str">
        <f>IF(L19&lt;40,"4",IF(L19&lt;50,"3",IF(L19&lt;55,IF(Tableau3[[#This Row],[Fonction]]="Conducteur de ligne","2","3"),"1")))</f>
        <v>4</v>
      </c>
      <c r="T19" s="6">
        <f t="shared" si="12"/>
        <v>47029</v>
      </c>
      <c r="U19" s="42">
        <v>45166</v>
      </c>
      <c r="V19" s="41" t="s">
        <v>48</v>
      </c>
      <c r="W19" s="75">
        <f t="shared" si="13"/>
        <v>30.498940116587175</v>
      </c>
      <c r="X19" s="6" t="str">
        <f>IF(L19&lt;40,"4",IF(L19&lt;55,"3",IF(Tableau3[[#This Row],[Fonction]]="conducteur de ligne","1","2")))</f>
        <v>4</v>
      </c>
      <c r="Y19" s="6">
        <f t="shared" si="8"/>
        <v>46627</v>
      </c>
      <c r="Z19" s="42">
        <v>45794</v>
      </c>
      <c r="AA19" s="3" t="str">
        <f ca="1">IF(Tableau3[[#This Row],[Date prochaine évaluation]]&gt; TODAY(),"Réussi","Examen expiré")</f>
        <v>Examen expiré</v>
      </c>
      <c r="AB19" s="6">
        <f t="shared" si="14"/>
        <v>46159</v>
      </c>
      <c r="AC19" s="46" t="e">
        <f t="shared" ca="1" si="7"/>
        <v>#VALUE!</v>
      </c>
      <c r="AD19" s="143"/>
    </row>
    <row r="20" spans="2:30" ht="34.5" hidden="1" x14ac:dyDescent="0.35">
      <c r="B20" s="41" t="s">
        <v>100</v>
      </c>
      <c r="C20" s="53" t="s">
        <v>101</v>
      </c>
      <c r="D20" s="41" t="s">
        <v>56</v>
      </c>
      <c r="E20" s="39"/>
      <c r="F20" s="65" t="str">
        <f ca="1">IF(Tableau3[[#This Row],[Date d''expiration ]]&gt;TODAY()+31,"✅",IF(Tableau3[[#This Row],[Date d''expiration ]]&gt; TODAY()+1, "⚠️","⛔️"))</f>
        <v>⚠️</v>
      </c>
      <c r="G20" s="6">
        <f t="shared" si="9"/>
        <v>46299</v>
      </c>
      <c r="H20" s="40" t="str">
        <f ca="1">IF( Tableau3[[#This Row],[Date d''expiration ]]&gt;TODAY(),"Néant","Cas à justifier")</f>
        <v>Néant</v>
      </c>
      <c r="I20" s="7">
        <v>31922</v>
      </c>
      <c r="J20" s="75">
        <f t="shared" ca="1" si="10"/>
        <v>39.285420944558524</v>
      </c>
      <c r="K20" s="75">
        <f>YEARFRAC(I20,RG_DRH_S1_008!$E$4,1)</f>
        <v>38.603018603018597</v>
      </c>
      <c r="L20" s="75">
        <f>YEARFRAC(I20,RG_DRH_S1_008!$E$5,1)</f>
        <v>39.603011635865847</v>
      </c>
      <c r="M20" s="3" t="s">
        <v>44</v>
      </c>
      <c r="N20" s="3" t="s">
        <v>80</v>
      </c>
      <c r="O20" s="3" t="s">
        <v>81</v>
      </c>
      <c r="P20" s="42">
        <v>45454</v>
      </c>
      <c r="Q20" s="41" t="s">
        <v>47</v>
      </c>
      <c r="R20" s="76">
        <f t="shared" si="11"/>
        <v>37.047262247838617</v>
      </c>
      <c r="S20" s="19" t="str">
        <f>IF(L20&lt;40,"4",IF(L20&lt;50,"3",IF(L20&lt;55,IF(Tableau3[[#This Row],[Fonction]]="Conducteur de ligne","2","3"),"1")))</f>
        <v>4</v>
      </c>
      <c r="T20" s="6">
        <f t="shared" si="12"/>
        <v>46915</v>
      </c>
      <c r="U20" s="42">
        <v>45594</v>
      </c>
      <c r="V20" s="41" t="s">
        <v>48</v>
      </c>
      <c r="W20" s="75">
        <f t="shared" si="13"/>
        <v>37.43054755043228</v>
      </c>
      <c r="X20" s="6" t="str">
        <f>IF(L20&lt;40,"4",IF(L20&lt;55,"3",IF(Tableau3[[#This Row],[Fonction]]="conducteur de ligne","1","2")))</f>
        <v>4</v>
      </c>
      <c r="Y20" s="6">
        <f t="shared" si="8"/>
        <v>47055</v>
      </c>
      <c r="Z20" s="42">
        <v>45934</v>
      </c>
      <c r="AA20" s="3" t="str">
        <f ca="1">IF(Tableau3[[#This Row],[Date prochaine évaluation]]&gt; TODAY(),"Réussi","Examen expiré")</f>
        <v>Réussi</v>
      </c>
      <c r="AB20" s="6">
        <f t="shared" si="14"/>
        <v>46299</v>
      </c>
      <c r="AC20" s="46" t="e">
        <f t="shared" ca="1" si="7"/>
        <v>#VALUE!</v>
      </c>
      <c r="AD20" s="143"/>
    </row>
    <row r="21" spans="2:30" ht="48" hidden="1" x14ac:dyDescent="0.35">
      <c r="B21" s="41" t="s">
        <v>102</v>
      </c>
      <c r="C21" s="53" t="s">
        <v>103</v>
      </c>
      <c r="D21" s="41" t="s">
        <v>56</v>
      </c>
      <c r="E21" s="39"/>
      <c r="F21" s="65" t="str">
        <f ca="1">IF(Tableau3[[#This Row],[Date d''expiration ]]&gt;TODAY()+31,"✅",IF(Tableau3[[#This Row],[Date d''expiration ]]&gt; TODAY()+1, "⚠️","⛔️"))</f>
        <v>⚠️</v>
      </c>
      <c r="G21" s="6">
        <f t="shared" si="9"/>
        <v>46276</v>
      </c>
      <c r="H21" s="40" t="str">
        <f ca="1">IF( Tableau3[[#This Row],[Date d''expiration ]]&gt;TODAY(),"Néant","Cas à justifier")</f>
        <v>Néant</v>
      </c>
      <c r="I21" s="7">
        <v>32509</v>
      </c>
      <c r="J21" s="75">
        <f t="shared" ca="1" si="10"/>
        <v>37.679659917861514</v>
      </c>
      <c r="K21" s="75">
        <f>YEARFRAC(I21,RG_DRH_S1_008!$E$4,1)</f>
        <v>36.997262098564455</v>
      </c>
      <c r="L21" s="75">
        <f>YEARFRAC(I21,RG_DRH_S1_008!$E$5,1)</f>
        <v>37.997262050580012</v>
      </c>
      <c r="M21" s="3" t="s">
        <v>44</v>
      </c>
      <c r="N21" s="3" t="s">
        <v>104</v>
      </c>
      <c r="O21" s="3" t="s">
        <v>58</v>
      </c>
      <c r="P21" s="42">
        <v>45380</v>
      </c>
      <c r="Q21" s="41" t="s">
        <v>47</v>
      </c>
      <c r="R21" s="76">
        <f t="shared" si="11"/>
        <v>35.238877481177276</v>
      </c>
      <c r="S21" s="19" t="str">
        <f>IF(L21&lt;40,"4",IF(L21&lt;50,"3",IF(L21&lt;55,IF(Tableau3[[#This Row],[Fonction]]="Conducteur de ligne","2","3"),"1")))</f>
        <v>4</v>
      </c>
      <c r="T21" s="6">
        <f t="shared" si="12"/>
        <v>46841</v>
      </c>
      <c r="U21" s="42">
        <v>45722</v>
      </c>
      <c r="V21" s="41" t="s">
        <v>48</v>
      </c>
      <c r="W21" s="75">
        <f t="shared" si="13"/>
        <v>36.175891667899954</v>
      </c>
      <c r="X21" s="6" t="str">
        <f>IF(L21&lt;40,"4",IF(L21&lt;55,"3",IF(Tableau3[[#This Row],[Fonction]]="conducteur de ligne","1","2")))</f>
        <v>4</v>
      </c>
      <c r="Y21" s="6">
        <f t="shared" si="8"/>
        <v>47183</v>
      </c>
      <c r="Z21" s="42">
        <v>45911</v>
      </c>
      <c r="AA21" s="3" t="str">
        <f ca="1">IF(Tableau3[[#This Row],[Date prochaine évaluation]]&gt; TODAY(),"Réussi","Examen expiré")</f>
        <v>Réussi</v>
      </c>
      <c r="AB21" s="6">
        <f t="shared" si="14"/>
        <v>46276</v>
      </c>
      <c r="AC21" s="46" t="e">
        <f t="shared" ca="1" si="7"/>
        <v>#VALUE!</v>
      </c>
      <c r="AD21" s="143"/>
    </row>
    <row r="22" spans="2:30" ht="34.5" hidden="1" x14ac:dyDescent="0.35">
      <c r="B22" s="41" t="s">
        <v>105</v>
      </c>
      <c r="C22" s="50" t="s">
        <v>106</v>
      </c>
      <c r="D22" s="41" t="s">
        <v>56</v>
      </c>
      <c r="E22" s="39"/>
      <c r="F22" s="65" t="str">
        <f ca="1">IF(Tableau3[[#This Row],[Date d''expiration ]]&gt;TODAY()+31,"✅",IF(Tableau3[[#This Row],[Date d''expiration ]]&gt; TODAY()+1, "⚠️","⛔️"))</f>
        <v>✅</v>
      </c>
      <c r="G22" s="6">
        <f t="shared" si="9"/>
        <v>46431</v>
      </c>
      <c r="H22" s="40" t="str">
        <f ca="1">IF( Tableau3[[#This Row],[Date d''expiration ]]&gt;TODAY(),"Néant","Cas à justifier")</f>
        <v>Néant</v>
      </c>
      <c r="I22" s="20">
        <v>32791</v>
      </c>
      <c r="J22" s="75">
        <f t="shared" ca="1" si="10"/>
        <v>36.907558181425173</v>
      </c>
      <c r="K22" s="75">
        <f>YEARFRAC(I22,RG_DRH_S1_008!$E$4,1)</f>
        <v>36.225173893739829</v>
      </c>
      <c r="L22" s="75">
        <f>YEARFRAC(I22,RG_DRH_S1_008!$E$5,1)</f>
        <v>37.225160314143665</v>
      </c>
      <c r="M22" s="3" t="s">
        <v>44</v>
      </c>
      <c r="N22" s="3" t="s">
        <v>80</v>
      </c>
      <c r="O22" s="3" t="s">
        <v>81</v>
      </c>
      <c r="P22" s="42">
        <v>45412</v>
      </c>
      <c r="Q22" s="41" t="s">
        <v>47</v>
      </c>
      <c r="R22" s="76">
        <f t="shared" si="11"/>
        <v>34.554414784394254</v>
      </c>
      <c r="S22" s="19" t="str">
        <f>IF(L22&lt;40,"4",IF(L22&lt;50,"3",IF(L22&lt;55,IF(Tableau3[[#This Row],[Fonction]]="Conducteur de ligne","2","3"),"1")))</f>
        <v>4</v>
      </c>
      <c r="T22" s="6">
        <f t="shared" si="12"/>
        <v>46873</v>
      </c>
      <c r="U22" s="42">
        <v>45595</v>
      </c>
      <c r="V22" s="41" t="s">
        <v>48</v>
      </c>
      <c r="W22" s="75">
        <f t="shared" si="13"/>
        <v>35.055441478439427</v>
      </c>
      <c r="X22" s="6" t="str">
        <f>IF(L22&lt;40,"4",IF(L22&lt;55,"3",IF(Tableau3[[#This Row],[Fonction]]="conducteur de ligne","1","2")))</f>
        <v>4</v>
      </c>
      <c r="Y22" s="6">
        <f t="shared" si="8"/>
        <v>47056</v>
      </c>
      <c r="Z22" s="42">
        <v>46066</v>
      </c>
      <c r="AA22" s="3" t="str">
        <f ca="1">IF(Tableau3[[#This Row],[Date prochaine évaluation]]&gt; TODAY(),"Réussi","Examen expiré")</f>
        <v>Réussi</v>
      </c>
      <c r="AB22" s="6">
        <f t="shared" si="14"/>
        <v>46431</v>
      </c>
      <c r="AC22" s="46" t="e">
        <f t="shared" ca="1" si="7"/>
        <v>#VALUE!</v>
      </c>
      <c r="AD22" s="143"/>
    </row>
    <row r="23" spans="2:30" ht="48" hidden="1" x14ac:dyDescent="0.35">
      <c r="B23" s="41" t="s">
        <v>112</v>
      </c>
      <c r="C23" s="52" t="s">
        <v>113</v>
      </c>
      <c r="D23" s="41" t="s">
        <v>56</v>
      </c>
      <c r="E23" s="40">
        <v>43297</v>
      </c>
      <c r="F23" s="65" t="str">
        <f ca="1">IF(Tableau3[[#This Row],[Date d''expiration ]]&gt;TODAY()+31,"✅",IF(Tableau3[[#This Row],[Date d''expiration ]]&gt; TODAY()+1, "⚠️","⛔️"))</f>
        <v>✅</v>
      </c>
      <c r="G23" s="6">
        <f t="shared" si="9"/>
        <v>46340</v>
      </c>
      <c r="H23" s="40" t="str">
        <f ca="1">IF( Tableau3[[#This Row],[Date d''expiration ]]&gt;TODAY(),"Néant","Cas à justifier")</f>
        <v>Néant</v>
      </c>
      <c r="I23" s="21">
        <v>33195</v>
      </c>
      <c r="J23" s="75">
        <f t="shared" ca="1" si="10"/>
        <v>35.800799171229841</v>
      </c>
      <c r="K23" s="75">
        <f>YEARFRAC(I23,RG_DRH_S1_008!$E$4,1)</f>
        <v>35.118412046543462</v>
      </c>
      <c r="L23" s="75">
        <f>YEARFRAC(I23,RG_DRH_S1_008!$E$5,1)</f>
        <v>36.118395737753445</v>
      </c>
      <c r="M23" s="3" t="s">
        <v>44</v>
      </c>
      <c r="N23" s="3" t="s">
        <v>57</v>
      </c>
      <c r="O23" s="3" t="s">
        <v>58</v>
      </c>
      <c r="P23" s="42">
        <v>45007</v>
      </c>
      <c r="Q23" s="41" t="s">
        <v>47</v>
      </c>
      <c r="R23" s="76">
        <f t="shared" si="11"/>
        <v>32.340795619262359</v>
      </c>
      <c r="S23" s="19" t="str">
        <f>IF(L23&lt;40,"4",IF(L23&lt;50,"3",IF(L23&lt;55,IF(Tableau3[[#This Row],[Fonction]]="Conducteur de ligne","2","3"),"1")))</f>
        <v>4</v>
      </c>
      <c r="T23" s="6">
        <f t="shared" si="12"/>
        <v>46468</v>
      </c>
      <c r="U23" s="42">
        <v>45328</v>
      </c>
      <c r="V23" s="41" t="s">
        <v>48</v>
      </c>
      <c r="W23" s="75">
        <f t="shared" si="13"/>
        <v>33.217693992490609</v>
      </c>
      <c r="X23" s="6" t="str">
        <f>IF(L23&lt;40,"4",IF(L23&lt;55,"3",IF(Tableau3[[#This Row],[Fonction]]="conducteur de ligne","1","2")))</f>
        <v>4</v>
      </c>
      <c r="Y23" s="6">
        <f t="shared" si="8"/>
        <v>46789</v>
      </c>
      <c r="Z23" s="42">
        <v>45975</v>
      </c>
      <c r="AA23" s="3" t="str">
        <f ca="1">IF(Tableau3[[#This Row],[Date prochaine évaluation]]&gt; TODAY(),"Réussi","Examen expiré")</f>
        <v>Réussi</v>
      </c>
      <c r="AB23" s="6">
        <f t="shared" si="14"/>
        <v>46340</v>
      </c>
      <c r="AC23" s="46" t="e">
        <f t="shared" ca="1" si="7"/>
        <v>#VALUE!</v>
      </c>
      <c r="AD23" s="143"/>
    </row>
    <row r="24" spans="2:30" ht="48" hidden="1" x14ac:dyDescent="0.35">
      <c r="B24" s="178" t="s">
        <v>115</v>
      </c>
      <c r="C24" s="178" t="s">
        <v>116</v>
      </c>
      <c r="D24" s="178" t="s">
        <v>56</v>
      </c>
      <c r="E24" s="179"/>
      <c r="F24" s="180" t="str">
        <f ca="1">IF(Tableau3[[#This Row],[Date d''expiration ]]&gt;TODAY()+31,"✅",IF(Tableau3[[#This Row],[Date d''expiration ]]&gt; TODAY()+1, "⚠️","⛔️"))</f>
        <v>✅</v>
      </c>
      <c r="G24" s="181">
        <f t="shared" si="9"/>
        <v>46551</v>
      </c>
      <c r="H24" s="40" t="str">
        <f ca="1">IF( Tableau3[[#This Row],[Date d''expiration ]]&gt;TODAY(),"Néant","Cas à justifier")</f>
        <v>Néant</v>
      </c>
      <c r="I24" s="21">
        <v>31626</v>
      </c>
      <c r="J24" s="75">
        <f t="shared" ca="1" si="10"/>
        <v>40.096494156928216</v>
      </c>
      <c r="K24" s="75">
        <f>YEARFRAC(I24,RG_DRH_S1_008!$E$4,1)</f>
        <v>39.414099931553729</v>
      </c>
      <c r="L24" s="75">
        <f>YEARFRAC(I24,RG_DRH_S1_008!$E$5,1)</f>
        <v>40.414090150250416</v>
      </c>
      <c r="M24" s="3" t="s">
        <v>44</v>
      </c>
      <c r="N24" s="3" t="s">
        <v>57</v>
      </c>
      <c r="O24" s="3" t="s">
        <v>58</v>
      </c>
      <c r="P24" s="42">
        <v>46191</v>
      </c>
      <c r="Q24" s="41" t="s">
        <v>47</v>
      </c>
      <c r="R24" s="76">
        <f t="shared" si="11"/>
        <v>39.877462437395657</v>
      </c>
      <c r="S24" s="19" t="str">
        <f>IF(L24&lt;40,"4",IF(L24&lt;50,"3",IF(L24&lt;55,IF(Tableau3[[#This Row],[Fonction]]="Conducteur de ligne","2","3"),"1")))</f>
        <v>3</v>
      </c>
      <c r="T24" s="6">
        <f t="shared" si="12"/>
        <v>47287</v>
      </c>
      <c r="U24" s="42">
        <v>46191</v>
      </c>
      <c r="V24" s="41" t="s">
        <v>48</v>
      </c>
      <c r="W24" s="75">
        <f t="shared" si="13"/>
        <v>39.877462437395657</v>
      </c>
      <c r="X24" s="6" t="str">
        <f>IF(L24&lt;40,"4",IF(L24&lt;55,"3",IF(Tableau3[[#This Row],[Fonction]]="conducteur de ligne","1","2")))</f>
        <v>3</v>
      </c>
      <c r="Y24" s="6">
        <f t="shared" si="8"/>
        <v>47287</v>
      </c>
      <c r="Z24" s="42">
        <v>46186</v>
      </c>
      <c r="AA24" s="3" t="str">
        <f ca="1">IF(Tableau3[[#This Row],[Date prochaine évaluation]]&gt; TODAY(),"Réussi","Examen expiré")</f>
        <v>Réussi</v>
      </c>
      <c r="AB24" s="6">
        <f t="shared" si="14"/>
        <v>46551</v>
      </c>
      <c r="AC24" s="46" t="e">
        <f t="shared" ca="1" si="7"/>
        <v>#VALUE!</v>
      </c>
      <c r="AD24" s="143"/>
    </row>
    <row r="25" spans="2:30" ht="34.5" hidden="1" x14ac:dyDescent="0.35">
      <c r="B25" s="41" t="s">
        <v>122</v>
      </c>
      <c r="C25" s="50" t="s">
        <v>123</v>
      </c>
      <c r="D25" s="41" t="s">
        <v>56</v>
      </c>
      <c r="E25" s="39"/>
      <c r="F25" s="65" t="str">
        <f ca="1">IF(Tableau3[[#This Row],[Date d''expiration ]]&gt;TODAY()+31,"✅",IF(Tableau3[[#This Row],[Date d''expiration ]]&gt; TODAY()+1, "⚠️","⛔️"))</f>
        <v>✅</v>
      </c>
      <c r="G25" s="6">
        <f t="shared" si="9"/>
        <v>46311</v>
      </c>
      <c r="H25" s="40" t="str">
        <f ca="1">IF( Tableau3[[#This Row],[Date d''expiration ]]&gt;TODAY(),"Néant","Cas à justifier")</f>
        <v>Néant</v>
      </c>
      <c r="I25" s="20">
        <v>32784</v>
      </c>
      <c r="J25" s="75">
        <f t="shared" ca="1" si="10"/>
        <v>36.92672382736508</v>
      </c>
      <c r="K25" s="75">
        <f>YEARFRAC(I25,RG_DRH_S1_008!$E$4,1)</f>
        <v>36.244339203788662</v>
      </c>
      <c r="L25" s="75">
        <f>YEARFRAC(I25,RG_DRH_S1_008!$E$5,1)</f>
        <v>37.244325960083579</v>
      </c>
      <c r="M25" s="3" t="s">
        <v>44</v>
      </c>
      <c r="N25" s="3" t="s">
        <v>80</v>
      </c>
      <c r="O25" s="33" t="s">
        <v>81</v>
      </c>
      <c r="P25" s="42">
        <v>45754</v>
      </c>
      <c r="Q25" s="41" t="s">
        <v>47</v>
      </c>
      <c r="R25" s="76">
        <f t="shared" si="11"/>
        <v>35.510581619061718</v>
      </c>
      <c r="S25" s="19" t="str">
        <f>IF(L25&lt;40,"4",IF(L25&lt;50,"3",IF(L25&lt;55,IF(Tableau3[[#This Row],[Fonction]]="Conducteur de ligne","2","3"),"1")))</f>
        <v>4</v>
      </c>
      <c r="T25" s="6">
        <f t="shared" si="12"/>
        <v>47215</v>
      </c>
      <c r="U25" s="42">
        <v>44985</v>
      </c>
      <c r="V25" s="41" t="s">
        <v>48</v>
      </c>
      <c r="W25" s="75">
        <f t="shared" si="13"/>
        <v>33.4064773527341</v>
      </c>
      <c r="X25" s="6" t="str">
        <f>IF(L25&lt;40,"4",IF(L25&lt;55,"3",IF(Tableau3[[#This Row],[Fonction]]="conducteur de ligne","1","2")))</f>
        <v>4</v>
      </c>
      <c r="Y25" s="6">
        <f t="shared" ref="Y25:Y42" si="15">EDATE(U25, (12*X25))</f>
        <v>46446</v>
      </c>
      <c r="Z25" s="42">
        <v>45946</v>
      </c>
      <c r="AA25" s="3" t="str">
        <f ca="1">IF(Tableau3[[#This Row],[Date prochaine évaluation]]&gt; TODAY(),"Réussi","Examen expiré")</f>
        <v>Réussi</v>
      </c>
      <c r="AB25" s="6">
        <f t="shared" si="14"/>
        <v>46311</v>
      </c>
      <c r="AC25" s="46" t="e">
        <f t="shared" ca="1" si="7"/>
        <v>#VALUE!</v>
      </c>
      <c r="AD25" s="143"/>
    </row>
    <row r="26" spans="2:30" ht="48" hidden="1" x14ac:dyDescent="0.35">
      <c r="B26" s="41" t="s">
        <v>126</v>
      </c>
      <c r="C26" s="53" t="s">
        <v>127</v>
      </c>
      <c r="D26" s="41" t="s">
        <v>56</v>
      </c>
      <c r="E26" s="39"/>
      <c r="F26" s="65" t="str">
        <f ca="1">IF(Tableau3[[#This Row],[Date d''expiration ]]&gt;TODAY()+31,"✅",IF(Tableau3[[#This Row],[Date d''expiration ]]&gt; TODAY()+1, "⚠️","⛔️"))</f>
        <v>✅</v>
      </c>
      <c r="G26" s="6">
        <f t="shared" si="9"/>
        <v>46313</v>
      </c>
      <c r="H26" s="40" t="str">
        <f ca="1">IF( Tableau3[[#This Row],[Date d''expiration ]]&gt;TODAY(),"Néant","Cas à justifier")</f>
        <v>Néant</v>
      </c>
      <c r="I26" s="7">
        <v>34990</v>
      </c>
      <c r="J26" s="75">
        <f t="shared" ca="1" si="10"/>
        <v>30.885694729637233</v>
      </c>
      <c r="K26" s="75">
        <f>YEARFRAC(I26,RG_DRH_S1_008!$E$4,1)</f>
        <v>30.203303011569371</v>
      </c>
      <c r="L26" s="75">
        <f>YEARFRAC(I26,RG_DRH_S1_008!$E$5,1)</f>
        <v>31.20328542094456</v>
      </c>
      <c r="M26" s="3" t="s">
        <v>44</v>
      </c>
      <c r="N26" s="3" t="s">
        <v>128</v>
      </c>
      <c r="O26" s="33" t="s">
        <v>58</v>
      </c>
      <c r="P26" s="42">
        <v>45567</v>
      </c>
      <c r="Q26" s="41" t="s">
        <v>47</v>
      </c>
      <c r="R26" s="76">
        <f t="shared" si="11"/>
        <v>28.956926446431833</v>
      </c>
      <c r="S26" s="19" t="str">
        <f>IF(L26&lt;40,"4",IF(L26&lt;50,"3",IF(L26&lt;55,IF(Tableau3[[#This Row],[Fonction]]="Conducteur de ligne","2","3"),"1")))</f>
        <v>4</v>
      </c>
      <c r="T26" s="6">
        <f t="shared" si="12"/>
        <v>47028</v>
      </c>
      <c r="U26" s="42">
        <v>44852</v>
      </c>
      <c r="V26" s="41" t="s">
        <v>48</v>
      </c>
      <c r="W26" s="75">
        <f t="shared" si="13"/>
        <v>27.000684462696782</v>
      </c>
      <c r="X26" s="6" t="str">
        <f>IF(L26&lt;40,"4",IF(L26&lt;55,"3",IF(Tableau3[[#This Row],[Fonction]]="conducteur de ligne","1","2")))</f>
        <v>4</v>
      </c>
      <c r="Y26" s="6">
        <f t="shared" si="15"/>
        <v>46313</v>
      </c>
      <c r="Z26" s="42">
        <v>46133</v>
      </c>
      <c r="AA26" s="3" t="str">
        <f ca="1">IF(Tableau3[[#This Row],[Date prochaine évaluation]]&gt; TODAY(),"Réussi","Examen expiré")</f>
        <v>Réussi</v>
      </c>
      <c r="AB26" s="6">
        <f t="shared" si="14"/>
        <v>46498</v>
      </c>
      <c r="AC26" s="46" t="e">
        <f t="shared" ca="1" si="7"/>
        <v>#VALUE!</v>
      </c>
      <c r="AD26" s="143"/>
    </row>
    <row r="27" spans="2:30" ht="48" hidden="1" x14ac:dyDescent="0.35">
      <c r="B27" s="41" t="s">
        <v>129</v>
      </c>
      <c r="C27" s="52" t="s">
        <v>130</v>
      </c>
      <c r="D27" s="41" t="s">
        <v>56</v>
      </c>
      <c r="E27" s="39"/>
      <c r="F27" s="65" t="str">
        <f ca="1">IF(Tableau3[[#This Row],[Date d''expiration ]]&gt;TODAY()+31,"✅",IF(Tableau3[[#This Row],[Date d''expiration ]]&gt; TODAY()+1, "⚠️","⛔️"))</f>
        <v>✅</v>
      </c>
      <c r="G27" s="6">
        <f t="shared" si="9"/>
        <v>46473</v>
      </c>
      <c r="H27" s="40" t="str">
        <f ca="1">IF( Tableau3[[#This Row],[Date d''expiration ]]&gt;TODAY(),"Néant","Cas à justifier")</f>
        <v>Néant</v>
      </c>
      <c r="I27" s="21">
        <v>33765</v>
      </c>
      <c r="J27" s="75">
        <f t="shared" ca="1" si="10"/>
        <v>34.23889236545682</v>
      </c>
      <c r="K27" s="75">
        <f>YEARFRAC(I27,RG_DRH_S1_008!$E$4,1)</f>
        <v>33.556486029470975</v>
      </c>
      <c r="L27" s="75">
        <f>YEARFRAC(I27,RG_DRH_S1_008!$E$5,1)</f>
        <v>34.556476846057571</v>
      </c>
      <c r="M27" s="3" t="s">
        <v>44</v>
      </c>
      <c r="N27" s="3" t="s">
        <v>131</v>
      </c>
      <c r="O27" s="33" t="s">
        <v>58</v>
      </c>
      <c r="P27" s="42">
        <v>45674</v>
      </c>
      <c r="Q27" s="41" t="s">
        <v>47</v>
      </c>
      <c r="R27" s="76">
        <f t="shared" si="11"/>
        <v>32.603752315001209</v>
      </c>
      <c r="S27" s="19" t="str">
        <f>IF(L27&lt;40,"4",IF(L27&lt;50,"3",IF(L27&lt;55,IF(Tableau3[[#This Row],[Fonction]]="Conducteur de ligne","2","3"),"1")))</f>
        <v>4</v>
      </c>
      <c r="T27" s="6">
        <f t="shared" si="12"/>
        <v>47135</v>
      </c>
      <c r="U27" s="42">
        <v>45140</v>
      </c>
      <c r="V27" s="41" t="s">
        <v>48</v>
      </c>
      <c r="W27" s="75">
        <f t="shared" si="13"/>
        <v>31.143052703627653</v>
      </c>
      <c r="X27" s="6" t="str">
        <f>IF(L27&lt;40,"4",IF(L27&lt;55,"3",IF(Tableau3[[#This Row],[Fonction]]="conducteur de ligne","1","2")))</f>
        <v>4</v>
      </c>
      <c r="Y27" s="6">
        <f t="shared" si="15"/>
        <v>46601</v>
      </c>
      <c r="Z27" s="42">
        <v>46108</v>
      </c>
      <c r="AA27" s="3" t="str">
        <f ca="1">IF(Tableau3[[#This Row],[Date prochaine évaluation]]&gt; TODAY(),"Réussi","Examen expiré")</f>
        <v>Réussi</v>
      </c>
      <c r="AB27" s="6">
        <f t="shared" si="14"/>
        <v>46473</v>
      </c>
      <c r="AC27" s="46" t="e">
        <f t="shared" ca="1" si="7"/>
        <v>#VALUE!</v>
      </c>
      <c r="AD27" s="143"/>
    </row>
    <row r="28" spans="2:30" ht="48" hidden="1" x14ac:dyDescent="0.35">
      <c r="B28" s="41" t="s">
        <v>132</v>
      </c>
      <c r="C28" s="51" t="s">
        <v>133</v>
      </c>
      <c r="D28" s="41" t="s">
        <v>56</v>
      </c>
      <c r="E28" s="39"/>
      <c r="F28" s="65" t="str">
        <f ca="1">IF(Tableau3[[#This Row],[Date d''expiration ]]&gt;TODAY()+31,"✅",IF(Tableau3[[#This Row],[Date d''expiration ]]&gt; TODAY()+1, "⚠️","⛔️"))</f>
        <v>✅</v>
      </c>
      <c r="G28" s="6">
        <f t="shared" ref="G28:G47" si="16">MIN(T28,Y28,AB28)</f>
        <v>46428</v>
      </c>
      <c r="H28" s="40" t="str">
        <f ca="1">IF( Tableau3[[#This Row],[Date d''expiration ]]&gt;TODAY(),"Néant","Cas à justifier")</f>
        <v>Néant</v>
      </c>
      <c r="I28" s="32">
        <v>31611</v>
      </c>
      <c r="J28" s="75">
        <f t="shared" ref="J28:J46" ca="1" si="17">YEARFRAC(I28,TODAY(),1)</f>
        <v>40.137562604340566</v>
      </c>
      <c r="K28" s="75">
        <f>YEARFRAC(I28,RG_DRH_S1_008!$E$4,1)</f>
        <v>39.455167693360714</v>
      </c>
      <c r="L28" s="75">
        <f>YEARFRAC(I28,RG_DRH_S1_008!$E$5,1)</f>
        <v>40.455158597662773</v>
      </c>
      <c r="M28" s="3" t="s">
        <v>44</v>
      </c>
      <c r="N28" s="3" t="s">
        <v>45</v>
      </c>
      <c r="O28" s="33" t="s">
        <v>58</v>
      </c>
      <c r="P28" s="42">
        <v>45971</v>
      </c>
      <c r="Q28" s="41" t="s">
        <v>47</v>
      </c>
      <c r="R28" s="76">
        <f t="shared" ref="R28:R47" si="18">YEARFRAC(I28,P28,1)</f>
        <v>39.315537303216978</v>
      </c>
      <c r="S28" s="19" t="str">
        <f>IF(L28&lt;40,"4",IF(L28&lt;50,"3",IF(L28&lt;55,IF(Tableau3[[#This Row],[Fonction]]="Conducteur de ligne","2","3"),"1")))</f>
        <v>3</v>
      </c>
      <c r="T28" s="6">
        <f t="shared" ref="T28:T49" si="19">EDATE(P28, (12*S28))</f>
        <v>47067</v>
      </c>
      <c r="U28" s="42">
        <v>45373</v>
      </c>
      <c r="V28" s="41" t="s">
        <v>48</v>
      </c>
      <c r="W28" s="75">
        <f t="shared" ref="W28:W47" si="20">YEARFRAC(I28,U28,1)</f>
        <v>37.677641277641278</v>
      </c>
      <c r="X28" s="6" t="str">
        <f>IF(L28&lt;40,"4",IF(L28&lt;55,"3",IF(Tableau3[[#This Row],[Fonction]]="conducteur de ligne","1","2")))</f>
        <v>3</v>
      </c>
      <c r="Y28" s="6">
        <f t="shared" si="15"/>
        <v>46468</v>
      </c>
      <c r="Z28" s="42">
        <v>46063</v>
      </c>
      <c r="AA28" s="3" t="str">
        <f ca="1">IF(Tableau3[[#This Row],[Date prochaine évaluation]]&gt; TODAY(),"Réussi","Examen expiré")</f>
        <v>Réussi</v>
      </c>
      <c r="AB28" s="6">
        <f t="shared" ref="AB28:AB48" si="21">EDATE(Z28, 12)</f>
        <v>46428</v>
      </c>
      <c r="AC28" s="46" t="e">
        <f t="shared" ref="AC28:AC64" ca="1" si="22">EDATE(AA28, 12)</f>
        <v>#VALUE!</v>
      </c>
      <c r="AD28" s="143"/>
    </row>
    <row r="29" spans="2:30" ht="64" hidden="1" x14ac:dyDescent="0.35">
      <c r="B29" s="41" t="s">
        <v>134</v>
      </c>
      <c r="C29" s="50" t="s">
        <v>135</v>
      </c>
      <c r="D29" s="41" t="s">
        <v>56</v>
      </c>
      <c r="E29" s="39"/>
      <c r="F29" s="65" t="str">
        <f ca="1">IF(Tableau3[[#This Row],[Date d''expiration ]]&gt;TODAY()+31,"✅",IF(Tableau3[[#This Row],[Date d''expiration ]]&gt; TODAY()+1, "⚠️","⛔️"))</f>
        <v>✅</v>
      </c>
      <c r="G29" s="6">
        <f t="shared" si="16"/>
        <v>46331</v>
      </c>
      <c r="H29" s="40" t="str">
        <f ca="1">IF( Tableau3[[#This Row],[Date d''expiration ]]&gt;TODAY(),"Néant","Cas à justifier")</f>
        <v>Néant</v>
      </c>
      <c r="I29" s="20">
        <v>33720</v>
      </c>
      <c r="J29" s="75">
        <f t="shared" ca="1" si="17"/>
        <v>34.362093241551939</v>
      </c>
      <c r="K29" s="75">
        <f>YEARFRAC(I29,RG_DRH_S1_008!$E$4,1)</f>
        <v>33.679684354617926</v>
      </c>
      <c r="L29" s="75">
        <f>YEARFRAC(I29,RG_DRH_S1_008!$E$5,1)</f>
        <v>34.67967772215269</v>
      </c>
      <c r="M29" s="3" t="s">
        <v>44</v>
      </c>
      <c r="N29" s="3" t="s">
        <v>128</v>
      </c>
      <c r="O29" s="33" t="s">
        <v>73</v>
      </c>
      <c r="P29" s="42">
        <v>45398</v>
      </c>
      <c r="Q29" s="41" t="s">
        <v>47</v>
      </c>
      <c r="R29" s="76">
        <f t="shared" si="18"/>
        <v>31.970632155301146</v>
      </c>
      <c r="S29" s="19" t="str">
        <f>IF(L29&lt;40,"4",IF(L29&lt;50,"3",IF(L29&lt;55,IF(Tableau3[[#This Row],[Fonction]]="Conducteur de ligne","2","3"),"1")))</f>
        <v>4</v>
      </c>
      <c r="T29" s="6">
        <f t="shared" si="19"/>
        <v>46859</v>
      </c>
      <c r="U29" s="42">
        <v>45398</v>
      </c>
      <c r="V29" s="41" t="s">
        <v>48</v>
      </c>
      <c r="W29" s="75">
        <f t="shared" si="20"/>
        <v>31.970632155301146</v>
      </c>
      <c r="X29" s="6" t="str">
        <f>IF(L29&lt;40,"4",IF(L29&lt;55,"3",IF(Tableau3[[#This Row],[Fonction]]="conducteur de ligne","1","2")))</f>
        <v>4</v>
      </c>
      <c r="Y29" s="6">
        <f t="shared" si="15"/>
        <v>46859</v>
      </c>
      <c r="Z29" s="42">
        <v>45966</v>
      </c>
      <c r="AA29" s="3" t="str">
        <f ca="1">IF(Tableau3[[#This Row],[Date prochaine évaluation]]&gt; TODAY(),"Réussi","Examen expiré")</f>
        <v>Réussi</v>
      </c>
      <c r="AB29" s="6">
        <f t="shared" si="21"/>
        <v>46331</v>
      </c>
      <c r="AC29" s="46" t="e">
        <f t="shared" ca="1" si="22"/>
        <v>#VALUE!</v>
      </c>
      <c r="AD29" s="143"/>
    </row>
    <row r="30" spans="2:30" ht="48" hidden="1" x14ac:dyDescent="0.35">
      <c r="B30" s="41" t="s">
        <v>136</v>
      </c>
      <c r="C30" s="50" t="s">
        <v>137</v>
      </c>
      <c r="D30" s="41" t="s">
        <v>56</v>
      </c>
      <c r="E30" s="39"/>
      <c r="F30" s="65" t="str">
        <f ca="1">IF(Tableau3[[#This Row],[Date d''expiration ]]&gt;TODAY()+31,"✅",IF(Tableau3[[#This Row],[Date d''expiration ]]&gt; TODAY()+1, "⚠️","⛔️"))</f>
        <v>✅</v>
      </c>
      <c r="G30" s="6">
        <f>MIN(T30,Y30,AB30)</f>
        <v>46431</v>
      </c>
      <c r="H30" s="40" t="str">
        <f ca="1">IF( Tableau3[[#This Row],[Date d''expiration ]]&gt;TODAY(),"Néant","Cas à justifier")</f>
        <v>Néant</v>
      </c>
      <c r="I30" s="20">
        <v>34723</v>
      </c>
      <c r="J30" s="75">
        <f t="shared" ca="1" si="17"/>
        <v>31.616700889801507</v>
      </c>
      <c r="K30" s="75">
        <f>YEARFRAC(I30,RG_DRH_S1_008!$E$4,1)</f>
        <v>30.93429303188201</v>
      </c>
      <c r="L30" s="75">
        <f>YEARFRAC(I30,RG_DRH_S1_008!$E$5,1)</f>
        <v>31.93429158110883</v>
      </c>
      <c r="M30" s="3" t="s">
        <v>44</v>
      </c>
      <c r="N30" s="3" t="s">
        <v>72</v>
      </c>
      <c r="O30" s="33" t="s">
        <v>58</v>
      </c>
      <c r="P30" s="42">
        <v>45327</v>
      </c>
      <c r="Q30" s="41" t="s">
        <v>47</v>
      </c>
      <c r="R30" s="76">
        <f t="shared" si="18"/>
        <v>29.030845044716191</v>
      </c>
      <c r="S30" s="19" t="str">
        <f>IF(L30&lt;40,"4",IF(L30&lt;50,"3",IF(L30&lt;55,IF(Tableau3[[#This Row],[Fonction]]="Conducteur de ligne","2","3"),"1")))</f>
        <v>4</v>
      </c>
      <c r="T30" s="6">
        <f t="shared" si="19"/>
        <v>46788</v>
      </c>
      <c r="U30" s="42">
        <v>45572</v>
      </c>
      <c r="V30" s="41" t="s">
        <v>48</v>
      </c>
      <c r="W30" s="75">
        <f t="shared" si="20"/>
        <v>29.701587881000183</v>
      </c>
      <c r="X30" s="6" t="str">
        <f>IF(L30&lt;40,"4",IF(L30&lt;55,"3",IF(Tableau3[[#This Row],[Fonction]]="conducteur de ligne","1","2")))</f>
        <v>4</v>
      </c>
      <c r="Y30" s="6">
        <f t="shared" si="15"/>
        <v>47033</v>
      </c>
      <c r="Z30" s="42">
        <v>46066</v>
      </c>
      <c r="AA30" s="3" t="str">
        <f ca="1">IF(Tableau3[[#This Row],[Date prochaine évaluation]]&gt; TODAY(),"Réussi","Examen expiré")</f>
        <v>Réussi</v>
      </c>
      <c r="AB30" s="6">
        <f t="shared" si="21"/>
        <v>46431</v>
      </c>
      <c r="AC30" s="46" t="e">
        <f t="shared" ca="1" si="22"/>
        <v>#VALUE!</v>
      </c>
      <c r="AD30" s="143"/>
    </row>
    <row r="31" spans="2:30" ht="48" hidden="1" x14ac:dyDescent="0.35">
      <c r="B31" s="41" t="s">
        <v>138</v>
      </c>
      <c r="C31" s="50" t="s">
        <v>139</v>
      </c>
      <c r="D31" s="41" t="s">
        <v>56</v>
      </c>
      <c r="E31" s="39"/>
      <c r="F31" s="65" t="str">
        <f ca="1">IF(Tableau3[[#This Row],[Date d''expiration ]]&gt;TODAY()+31,"✅",IF(Tableau3[[#This Row],[Date d''expiration ]]&gt; TODAY()+1, "⚠️","⛔️"))</f>
        <v>✅</v>
      </c>
      <c r="G31" s="6">
        <f t="shared" si="16"/>
        <v>46540</v>
      </c>
      <c r="H31" s="40" t="str">
        <f ca="1">IF( Tableau3[[#This Row],[Date d''expiration ]]&gt;TODAY(),"Néant","Cas à justifier")</f>
        <v>Néant</v>
      </c>
      <c r="I31" s="20">
        <v>34744</v>
      </c>
      <c r="J31" s="75">
        <f t="shared" ca="1" si="17"/>
        <v>31.559206023271731</v>
      </c>
      <c r="K31" s="75">
        <f>YEARFRAC(I31,RG_DRH_S1_008!$E$4,1)</f>
        <v>30.876799434778768</v>
      </c>
      <c r="L31" s="75">
        <f>YEARFRAC(I31,RG_DRH_S1_008!$E$5,1)</f>
        <v>31.876796714579054</v>
      </c>
      <c r="M31" s="3" t="s">
        <v>44</v>
      </c>
      <c r="N31" s="3" t="s">
        <v>128</v>
      </c>
      <c r="O31" s="33" t="s">
        <v>58</v>
      </c>
      <c r="P31" s="42">
        <v>45610</v>
      </c>
      <c r="Q31" s="41" t="s">
        <v>47</v>
      </c>
      <c r="R31" s="76">
        <f t="shared" si="18"/>
        <v>29.748129220660704</v>
      </c>
      <c r="S31" s="19" t="str">
        <f>IF(L31&lt;40,"4",IF(L31&lt;50,"3",IF(L31&lt;55,IF(Tableau3[[#This Row],[Fonction]]="Conducteur de ligne","2","3"),"1")))</f>
        <v>4</v>
      </c>
      <c r="T31" s="6">
        <f t="shared" si="19"/>
        <v>47071</v>
      </c>
      <c r="U31" s="42">
        <v>45148</v>
      </c>
      <c r="V31" s="41" t="s">
        <v>48</v>
      </c>
      <c r="W31" s="75">
        <f t="shared" si="20"/>
        <v>28.485271903323262</v>
      </c>
      <c r="X31" s="6" t="str">
        <f>IF(L31&lt;40,"4",IF(L31&lt;55,"3",IF(Tableau3[[#This Row],[Fonction]]="conducteur de ligne","1","2")))</f>
        <v>4</v>
      </c>
      <c r="Y31" s="6">
        <f t="shared" si="15"/>
        <v>46609</v>
      </c>
      <c r="Z31" s="42">
        <v>46175</v>
      </c>
      <c r="AA31" s="3" t="str">
        <f ca="1">IF(Tableau3[[#This Row],[Date prochaine évaluation]]&gt; TODAY(),"Réussi","Examen expiré")</f>
        <v>Réussi</v>
      </c>
      <c r="AB31" s="6">
        <f t="shared" si="21"/>
        <v>46540</v>
      </c>
      <c r="AC31" s="46" t="e">
        <f t="shared" ca="1" si="22"/>
        <v>#VALUE!</v>
      </c>
      <c r="AD31" s="143"/>
    </row>
    <row r="32" spans="2:30" ht="48" hidden="1" x14ac:dyDescent="0.35">
      <c r="B32" s="41" t="s">
        <v>140</v>
      </c>
      <c r="C32" s="51" t="s">
        <v>141</v>
      </c>
      <c r="D32" s="41" t="s">
        <v>56</v>
      </c>
      <c r="E32" s="39"/>
      <c r="F32" s="65" t="str">
        <f ca="1">IF(Tableau3[[#This Row],[Date d''expiration ]]&gt;TODAY()+31,"✅",IF(Tableau3[[#This Row],[Date d''expiration ]]&gt; TODAY()+1, "⚠️","⛔️"))</f>
        <v>✅</v>
      </c>
      <c r="G32" s="6">
        <f t="shared" si="16"/>
        <v>46429</v>
      </c>
      <c r="H32" s="40" t="str">
        <f ca="1">IF( Tableau3[[#This Row],[Date d''expiration ]]&gt;TODAY(),"Néant","Cas à justifier")</f>
        <v>Néant</v>
      </c>
      <c r="I32" s="32">
        <v>34257</v>
      </c>
      <c r="J32" s="75">
        <f t="shared" ca="1" si="17"/>
        <v>32.893863746174908</v>
      </c>
      <c r="K32" s="75">
        <f>YEARFRAC(I32,RG_DRH_S1_008!$E$4,1)</f>
        <v>32.211482618435241</v>
      </c>
      <c r="L32" s="75">
        <f>YEARFRAC(I32,RG_DRH_S1_008!$E$5,1)</f>
        <v>33.211467224995971</v>
      </c>
      <c r="M32" s="3" t="s">
        <v>44</v>
      </c>
      <c r="N32" s="3" t="s">
        <v>45</v>
      </c>
      <c r="O32" s="33" t="s">
        <v>58</v>
      </c>
      <c r="P32" s="42">
        <v>45013</v>
      </c>
      <c r="Q32" s="41" t="s">
        <v>47</v>
      </c>
      <c r="R32" s="76">
        <f t="shared" si="18"/>
        <v>29.450273803214976</v>
      </c>
      <c r="S32" s="19" t="str">
        <f>IF(L32&lt;40,"4",IF(L32&lt;50,"3",IF(L32&lt;55,IF(Tableau3[[#This Row],[Fonction]]="Conducteur de ligne","2","3"),"1")))</f>
        <v>4</v>
      </c>
      <c r="T32" s="6">
        <f t="shared" si="19"/>
        <v>46474</v>
      </c>
      <c r="U32" s="42">
        <v>45975</v>
      </c>
      <c r="V32" s="41" t="s">
        <v>48</v>
      </c>
      <c r="W32" s="75">
        <f t="shared" si="20"/>
        <v>32.082800962415995</v>
      </c>
      <c r="X32" s="6" t="str">
        <f>IF(L32&lt;40,"4",IF(L32&lt;55,"3",IF(Tableau3[[#This Row],[Fonction]]="conducteur de ligne","1","2")))</f>
        <v>4</v>
      </c>
      <c r="Y32" s="6">
        <f t="shared" si="15"/>
        <v>47436</v>
      </c>
      <c r="Z32" s="42">
        <v>46064</v>
      </c>
      <c r="AA32" s="3" t="str">
        <f ca="1">IF(Tableau3[[#This Row],[Date prochaine évaluation]]&gt; TODAY(),"Réussi","Examen expiré")</f>
        <v>Réussi</v>
      </c>
      <c r="AB32" s="6">
        <f t="shared" si="21"/>
        <v>46429</v>
      </c>
      <c r="AC32" s="46" t="e">
        <f t="shared" ca="1" si="22"/>
        <v>#VALUE!</v>
      </c>
      <c r="AD32" s="143"/>
    </row>
    <row r="33" spans="2:30" ht="48" hidden="1" x14ac:dyDescent="0.35">
      <c r="B33" s="41" t="s">
        <v>142</v>
      </c>
      <c r="C33" s="53" t="s">
        <v>143</v>
      </c>
      <c r="D33" s="41" t="s">
        <v>56</v>
      </c>
      <c r="E33" s="39"/>
      <c r="F33" s="65" t="str">
        <f ca="1">IF(Tableau3[[#This Row],[Date d''expiration ]]&gt;TODAY()+31,"✅",IF(Tableau3[[#This Row],[Date d''expiration ]]&gt; TODAY()+1, "⚠️","⛔️"))</f>
        <v>✅</v>
      </c>
      <c r="G33" s="6">
        <f t="shared" si="16"/>
        <v>46432</v>
      </c>
      <c r="H33" s="40" t="str">
        <f ca="1">IF( Tableau3[[#This Row],[Date d''expiration ]]&gt;TODAY(),"Néant","Cas à justifier")</f>
        <v>Néant</v>
      </c>
      <c r="I33" s="7">
        <v>34391</v>
      </c>
      <c r="J33" s="75">
        <f t="shared" ca="1" si="17"/>
        <v>32.526341989546168</v>
      </c>
      <c r="K33" s="75">
        <f>YEARFRAC(I33,RG_DRH_S1_008!$E$4,1)</f>
        <v>31.843942505133469</v>
      </c>
      <c r="L33" s="75">
        <f>YEARFRAC(I33,RG_DRH_S1_008!$E$5,1)</f>
        <v>32.843939268231978</v>
      </c>
      <c r="M33" s="3" t="s">
        <v>44</v>
      </c>
      <c r="N33" s="3" t="s">
        <v>72</v>
      </c>
      <c r="O33" s="33" t="s">
        <v>58</v>
      </c>
      <c r="P33" s="42">
        <v>45203</v>
      </c>
      <c r="Q33" s="41" t="s">
        <v>47</v>
      </c>
      <c r="R33" s="76">
        <f t="shared" si="18"/>
        <v>29.602993520124119</v>
      </c>
      <c r="S33" s="19" t="str">
        <f>IF(L33&lt;40,"4",IF(L33&lt;50,"3",IF(L33&lt;55,IF(Tableau3[[#This Row],[Fonction]]="Conducteur de ligne","2","3"),"1")))</f>
        <v>4</v>
      </c>
      <c r="T33" s="6">
        <f t="shared" si="19"/>
        <v>46664</v>
      </c>
      <c r="U33" s="42">
        <v>45575</v>
      </c>
      <c r="V33" s="41" t="s">
        <v>48</v>
      </c>
      <c r="W33" s="75">
        <f t="shared" si="20"/>
        <v>30.619447142983308</v>
      </c>
      <c r="X33" s="6" t="str">
        <f>IF(L33&lt;40,"4",IF(L33&lt;55,"3",IF(Tableau3[[#This Row],[Fonction]]="conducteur de ligne","1","2")))</f>
        <v>4</v>
      </c>
      <c r="Y33" s="6">
        <f t="shared" si="15"/>
        <v>47036</v>
      </c>
      <c r="Z33" s="42">
        <v>46067</v>
      </c>
      <c r="AA33" s="3" t="str">
        <f ca="1">IF(Tableau3[[#This Row],[Date prochaine évaluation]]&gt; TODAY(),"Réussi","Examen expiré")</f>
        <v>Réussi</v>
      </c>
      <c r="AB33" s="6">
        <f t="shared" si="21"/>
        <v>46432</v>
      </c>
      <c r="AC33" s="46" t="e">
        <f t="shared" ca="1" si="22"/>
        <v>#VALUE!</v>
      </c>
      <c r="AD33" s="143"/>
    </row>
    <row r="34" spans="2:30" ht="34.5" hidden="1" x14ac:dyDescent="0.35">
      <c r="B34" s="41" t="s">
        <v>144</v>
      </c>
      <c r="C34" s="50" t="s">
        <v>145</v>
      </c>
      <c r="D34" s="41" t="s">
        <v>56</v>
      </c>
      <c r="E34" s="39"/>
      <c r="F34" s="65" t="str">
        <f ca="1">IF(Tableau3[[#This Row],[Date d''expiration ]]&gt;TODAY()+31,"✅",IF(Tableau3[[#This Row],[Date d''expiration ]]&gt; TODAY()+1, "⚠️","⛔️"))</f>
        <v>⛔️</v>
      </c>
      <c r="G34" s="6">
        <f t="shared" si="16"/>
        <v>45895</v>
      </c>
      <c r="H34" s="144" t="s">
        <v>146</v>
      </c>
      <c r="I34" s="34">
        <v>25062</v>
      </c>
      <c r="J34" s="75">
        <f t="shared" ca="1" si="17"/>
        <v>58.066403712296982</v>
      </c>
      <c r="K34" s="75">
        <f>YEARFRAC(I34,RG_DRH_S1_008!$E$4,1)</f>
        <v>57.383998111871605</v>
      </c>
      <c r="L34" s="75">
        <f>YEARFRAC(I34,RG_DRH_S1_008!$E$5,1)</f>
        <v>58.38399071925754</v>
      </c>
      <c r="M34" s="3" t="s">
        <v>44</v>
      </c>
      <c r="N34" s="3" t="s">
        <v>80</v>
      </c>
      <c r="O34" s="33" t="s">
        <v>81</v>
      </c>
      <c r="P34" s="42">
        <v>45532</v>
      </c>
      <c r="Q34" s="41" t="s">
        <v>47</v>
      </c>
      <c r="R34" s="76">
        <f t="shared" si="18"/>
        <v>56.04178674351585</v>
      </c>
      <c r="S34" s="19" t="str">
        <f>IF(L34&lt;40,"4",IF(L34&lt;50,"3",IF(L34&lt;55,IF(Tableau3[[#This Row],[Fonction]]="Conducteur de ligne","2","3"),"1")))</f>
        <v>1</v>
      </c>
      <c r="T34" s="6">
        <f t="shared" si="19"/>
        <v>45897</v>
      </c>
      <c r="U34" s="42">
        <v>45530</v>
      </c>
      <c r="V34" s="41" t="s">
        <v>48</v>
      </c>
      <c r="W34" s="75">
        <f t="shared" si="20"/>
        <v>56.03631123919309</v>
      </c>
      <c r="X34" s="6" t="str">
        <f>IF(L34&lt;40,"4",IF(L34&lt;55,"3",IF(Tableau3[[#This Row],[Fonction]]="conducteur de ligne","1","2")))</f>
        <v>1</v>
      </c>
      <c r="Y34" s="6">
        <f t="shared" si="15"/>
        <v>45895</v>
      </c>
      <c r="Z34" s="42">
        <v>45818</v>
      </c>
      <c r="AA34" s="3" t="str">
        <f ca="1">IF(Tableau3[[#This Row],[Date prochaine évaluation]]&gt; TODAY(),"Réussi","Examen expiré")</f>
        <v>Examen expiré</v>
      </c>
      <c r="AB34" s="6">
        <f t="shared" si="21"/>
        <v>46183</v>
      </c>
      <c r="AC34" s="46" t="e">
        <f t="shared" ca="1" si="22"/>
        <v>#VALUE!</v>
      </c>
      <c r="AD34" s="143"/>
    </row>
    <row r="35" spans="2:30" ht="48" hidden="1" x14ac:dyDescent="0.35">
      <c r="B35" s="41" t="s">
        <v>147</v>
      </c>
      <c r="C35" s="53" t="s">
        <v>148</v>
      </c>
      <c r="D35" s="41" t="s">
        <v>56</v>
      </c>
      <c r="E35" s="39"/>
      <c r="F35" s="65" t="str">
        <f ca="1">IF(Tableau3[[#This Row],[Date d''expiration ]]&gt;TODAY()+31,"✅",IF(Tableau3[[#This Row],[Date d''expiration ]]&gt; TODAY()+1, "⚠️","⛔️"))</f>
        <v>✅</v>
      </c>
      <c r="G35" s="6">
        <f t="shared" si="16"/>
        <v>46580</v>
      </c>
      <c r="H35" s="40" t="str">
        <f ca="1">IF( Tableau3[[#This Row],[Date d''expiration ]]&gt;TODAY(),"Néant","Cas à justifier")</f>
        <v>Néant</v>
      </c>
      <c r="I35" s="35">
        <v>28567</v>
      </c>
      <c r="J35" s="75">
        <f t="shared" ca="1" si="17"/>
        <v>48.471587416885512</v>
      </c>
      <c r="K35" s="75">
        <f>YEARFRAC(I35,RG_DRH_S1_008!$E$4,1)</f>
        <v>47.789185489390832</v>
      </c>
      <c r="L35" s="75">
        <f>YEARFRAC(I35,RG_DRH_S1_008!$E$5,1)</f>
        <v>48.789182544560539</v>
      </c>
      <c r="M35" s="3" t="s">
        <v>44</v>
      </c>
      <c r="N35" s="3" t="s">
        <v>72</v>
      </c>
      <c r="O35" s="33" t="s">
        <v>58</v>
      </c>
      <c r="P35" s="42">
        <v>45485</v>
      </c>
      <c r="Q35" s="41" t="s">
        <v>47</v>
      </c>
      <c r="R35" s="76">
        <f t="shared" si="18"/>
        <v>46.318285081843072</v>
      </c>
      <c r="S35" s="19" t="str">
        <f>IF(L35&lt;40,"4",IF(L35&lt;50,"3",IF(L35&lt;55,IF(Tableau3[[#This Row],[Fonction]]="Conducteur de ligne","2","3"),"1")))</f>
        <v>3</v>
      </c>
      <c r="T35" s="6">
        <f t="shared" si="19"/>
        <v>46580</v>
      </c>
      <c r="U35" s="42">
        <v>45768</v>
      </c>
      <c r="V35" s="41" t="s">
        <v>48</v>
      </c>
      <c r="W35" s="75">
        <f t="shared" si="20"/>
        <v>47.093771389459278</v>
      </c>
      <c r="X35" s="6" t="str">
        <f>IF(L35&lt;40,"4",IF(L35&lt;55,"3",IF(Tableau3[[#This Row],[Fonction]]="conducteur de ligne","1","2")))</f>
        <v>3</v>
      </c>
      <c r="Y35" s="6">
        <f t="shared" si="15"/>
        <v>46864</v>
      </c>
      <c r="Z35" s="42">
        <v>46216</v>
      </c>
      <c r="AA35" s="3" t="str">
        <f ca="1">IF(Tableau3[[#This Row],[Date prochaine évaluation]]&gt; TODAY(),"Réussi","Examen expiré")</f>
        <v>Réussi</v>
      </c>
      <c r="AB35" s="6">
        <f>EDATE(Z35, 12)</f>
        <v>46581</v>
      </c>
      <c r="AC35" s="46" t="e">
        <f t="shared" ca="1" si="22"/>
        <v>#VALUE!</v>
      </c>
      <c r="AD35" s="143"/>
    </row>
    <row r="36" spans="2:30" ht="34.5" hidden="1" x14ac:dyDescent="0.35">
      <c r="B36" s="41" t="s">
        <v>149</v>
      </c>
      <c r="C36" s="50" t="s">
        <v>150</v>
      </c>
      <c r="D36" s="41" t="s">
        <v>56</v>
      </c>
      <c r="E36" s="39"/>
      <c r="F36" s="65" t="str">
        <f ca="1">IF(Tableau3[[#This Row],[Date d''expiration ]]&gt;TODAY()+31,"✅",IF(Tableau3[[#This Row],[Date d''expiration ]]&gt; TODAY()+1, "⚠️","⛔️"))</f>
        <v>✅</v>
      </c>
      <c r="G36" s="6">
        <f t="shared" si="16"/>
        <v>46436</v>
      </c>
      <c r="H36" s="40" t="str">
        <f ca="1">IF( Tableau3[[#This Row],[Date d''expiration ]]&gt;TODAY(),"Néant","Cas à justifier")</f>
        <v>Néant</v>
      </c>
      <c r="I36" s="34">
        <v>27573</v>
      </c>
      <c r="J36" s="75">
        <f t="shared" ca="1" si="17"/>
        <v>51.192334017796028</v>
      </c>
      <c r="K36" s="75">
        <f>YEARFRAC(I36,RG_DRH_S1_008!$E$4,1)</f>
        <v>50.509931286235776</v>
      </c>
      <c r="L36" s="75">
        <f>YEARFRAC(I36,RG_DRH_S1_008!$E$5,1)</f>
        <v>51.509924709103352</v>
      </c>
      <c r="M36" s="3" t="s">
        <v>44</v>
      </c>
      <c r="N36" s="3" t="s">
        <v>80</v>
      </c>
      <c r="O36" s="33" t="s">
        <v>81</v>
      </c>
      <c r="P36" s="42">
        <v>45833</v>
      </c>
      <c r="Q36" s="41" t="s">
        <v>47</v>
      </c>
      <c r="R36" s="76">
        <f t="shared" si="18"/>
        <v>49.992484432037791</v>
      </c>
      <c r="S36" s="19" t="str">
        <f>IF(L36&lt;40,"4",IF(L36&lt;50,"3",IF(L36&lt;55,IF(Tableau3[[#This Row],[Fonction]]="Conducteur de ligne","2","3"),"1")))</f>
        <v>2</v>
      </c>
      <c r="T36" s="6">
        <f t="shared" si="19"/>
        <v>46563</v>
      </c>
      <c r="U36" s="42">
        <v>45478</v>
      </c>
      <c r="V36" s="41" t="s">
        <v>48</v>
      </c>
      <c r="W36" s="75">
        <f t="shared" si="20"/>
        <v>49.019876252532441</v>
      </c>
      <c r="X36" s="6" t="str">
        <f>IF(L36&lt;40,"4",IF(L36&lt;55,"3",IF(Tableau3[[#This Row],[Fonction]]="conducteur de ligne","1","2")))</f>
        <v>3</v>
      </c>
      <c r="Y36" s="6">
        <f t="shared" si="15"/>
        <v>46573</v>
      </c>
      <c r="Z36" s="42">
        <v>46071</v>
      </c>
      <c r="AA36" s="3" t="str">
        <f ca="1">IF(Tableau3[[#This Row],[Date prochaine évaluation]]&gt; TODAY(),"Réussi","Examen expiré")</f>
        <v>Réussi</v>
      </c>
      <c r="AB36" s="6">
        <f t="shared" si="21"/>
        <v>46436</v>
      </c>
      <c r="AC36" s="46" t="e">
        <f t="shared" ca="1" si="22"/>
        <v>#VALUE!</v>
      </c>
      <c r="AD36" s="143"/>
    </row>
    <row r="37" spans="2:30" ht="166.5" hidden="1" customHeight="1" x14ac:dyDescent="0.35">
      <c r="B37" s="41" t="s">
        <v>151</v>
      </c>
      <c r="C37" s="51" t="s">
        <v>152</v>
      </c>
      <c r="D37" s="41" t="s">
        <v>56</v>
      </c>
      <c r="E37" s="39"/>
      <c r="F37" s="65" t="str">
        <f ca="1">IF(Tableau3[[#This Row],[Date d''expiration ]]&gt;TODAY()+31,"✅",IF(Tableau3[[#This Row],[Date d''expiration ]]&gt; TODAY()+1, "⚠️","⛔️"))</f>
        <v>✅</v>
      </c>
      <c r="G37" s="6">
        <f t="shared" si="16"/>
        <v>46339</v>
      </c>
      <c r="H37" s="40" t="str">
        <f ca="1">IF( Tableau3[[#This Row],[Date d''expiration ]]&gt;TODAY(),"Néant","Cas à justifier")</f>
        <v>Néant</v>
      </c>
      <c r="I37" s="36">
        <v>25637</v>
      </c>
      <c r="J37" s="75">
        <f t="shared" ca="1" si="17"/>
        <v>56.493491522167247</v>
      </c>
      <c r="K37" s="75">
        <f>YEARFRAC(I37,RG_DRH_S1_008!$E$4,1)</f>
        <v>55.811088295687888</v>
      </c>
      <c r="L37" s="75">
        <f>YEARFRAC(I37,RG_DRH_S1_008!$E$5,1)</f>
        <v>56.811086027186704</v>
      </c>
      <c r="M37" s="3" t="s">
        <v>44</v>
      </c>
      <c r="N37" s="3" t="s">
        <v>57</v>
      </c>
      <c r="O37" s="33" t="s">
        <v>58</v>
      </c>
      <c r="P37" s="42">
        <v>46105</v>
      </c>
      <c r="Q37" s="41" t="s">
        <v>47</v>
      </c>
      <c r="R37" s="76">
        <f t="shared" si="18"/>
        <v>56.039002833949759</v>
      </c>
      <c r="S37" s="19" t="str">
        <f>IF(L37&lt;40,"4",IF(L37&lt;50,"3",IF(L37&lt;55,IF(Tableau3[[#This Row],[Fonction]]="Conducteur de ligne","2","3"),"1")))</f>
        <v>1</v>
      </c>
      <c r="T37" s="6">
        <f t="shared" si="19"/>
        <v>46470</v>
      </c>
      <c r="U37" s="42">
        <v>46119</v>
      </c>
      <c r="V37" s="41" t="s">
        <v>48</v>
      </c>
      <c r="W37" s="75">
        <f t="shared" si="20"/>
        <v>56.07733320524521</v>
      </c>
      <c r="X37" s="6" t="str">
        <f>IF(L37&lt;40,"4",IF(L37&lt;55,"3",IF(Tableau3[[#This Row],[Fonction]]="conducteur de ligne","1","2")))</f>
        <v>1</v>
      </c>
      <c r="Y37" s="6">
        <f t="shared" si="15"/>
        <v>46484</v>
      </c>
      <c r="Z37" s="42">
        <v>45974</v>
      </c>
      <c r="AA37" s="3" t="str">
        <f ca="1">IF(Tableau3[[#This Row],[Date prochaine évaluation]]&gt; TODAY(),"Réussi","Examen expiré")</f>
        <v>Réussi</v>
      </c>
      <c r="AB37" s="6">
        <f t="shared" si="21"/>
        <v>46339</v>
      </c>
      <c r="AC37" s="46" t="e">
        <f t="shared" ca="1" si="22"/>
        <v>#VALUE!</v>
      </c>
      <c r="AD37" s="143"/>
    </row>
    <row r="38" spans="2:30" ht="48" hidden="1" x14ac:dyDescent="0.35">
      <c r="B38" s="41" t="s">
        <v>154</v>
      </c>
      <c r="C38" s="52" t="s">
        <v>155</v>
      </c>
      <c r="D38" s="41" t="s">
        <v>56</v>
      </c>
      <c r="E38" s="39"/>
      <c r="F38" s="65" t="str">
        <f ca="1">IF(Tableau3[[#This Row],[Date d''expiration ]]&gt;TODAY()+31,"✅",IF(Tableau3[[#This Row],[Date d''expiration ]]&gt; TODAY()+1, "⚠️","⛔️"))</f>
        <v>⛔️</v>
      </c>
      <c r="G38" s="6">
        <f t="shared" si="16"/>
        <v>46095</v>
      </c>
      <c r="H38" s="99" t="s">
        <v>156</v>
      </c>
      <c r="I38" s="37">
        <v>27211</v>
      </c>
      <c r="J38" s="75">
        <f t="shared" ca="1" si="17"/>
        <v>52.184109928711642</v>
      </c>
      <c r="K38" s="75">
        <f>YEARFRAC(I38,RG_DRH_S1_008!$E$4,1)</f>
        <v>51.501711156741955</v>
      </c>
      <c r="L38" s="75">
        <f>YEARFRAC(I38,RG_DRH_S1_008!$E$5,1)</f>
        <v>52.501704721562142</v>
      </c>
      <c r="M38" s="3" t="s">
        <v>44</v>
      </c>
      <c r="N38" s="3" t="s">
        <v>69</v>
      </c>
      <c r="O38" s="33" t="s">
        <v>58</v>
      </c>
      <c r="P38" s="42">
        <v>45765</v>
      </c>
      <c r="Q38" s="41" t="s">
        <v>47</v>
      </c>
      <c r="R38" s="76">
        <f t="shared" si="18"/>
        <v>50.798083504449011</v>
      </c>
      <c r="S38" s="19" t="str">
        <f>IF(L38&lt;40,"4",IF(L38&lt;50,"3",IF(L38&lt;55,IF(Tableau3[[#This Row],[Fonction]]="Conducteur de ligne","2","3"),"1")))</f>
        <v>2</v>
      </c>
      <c r="T38" s="6">
        <f t="shared" si="19"/>
        <v>46495</v>
      </c>
      <c r="U38" s="42">
        <v>44999</v>
      </c>
      <c r="V38" s="41" t="s">
        <v>48</v>
      </c>
      <c r="W38" s="75">
        <f t="shared" si="20"/>
        <v>48.702223195706928</v>
      </c>
      <c r="X38" s="6" t="str">
        <f>IF(L38&lt;40,"4",IF(L38&lt;55,"3",IF(Tableau3[[#This Row],[Fonction]]="conducteur de ligne","1","2")))</f>
        <v>3</v>
      </c>
      <c r="Y38" s="6">
        <f t="shared" si="15"/>
        <v>46095</v>
      </c>
      <c r="Z38" s="42">
        <v>45957</v>
      </c>
      <c r="AA38" s="3" t="str">
        <f ca="1">IF(Tableau3[[#This Row],[Date prochaine évaluation]]&gt; TODAY(),"Réussi","Examen expiré")</f>
        <v>Réussi</v>
      </c>
      <c r="AB38" s="6">
        <f t="shared" si="21"/>
        <v>46322</v>
      </c>
      <c r="AC38" s="46" t="e">
        <f t="shared" ca="1" si="22"/>
        <v>#VALUE!</v>
      </c>
      <c r="AD38" s="143"/>
    </row>
    <row r="39" spans="2:30" ht="48" hidden="1" x14ac:dyDescent="0.35">
      <c r="B39" s="41" t="s">
        <v>157</v>
      </c>
      <c r="C39" s="51" t="s">
        <v>158</v>
      </c>
      <c r="D39" s="41" t="s">
        <v>56</v>
      </c>
      <c r="E39" s="39"/>
      <c r="F39" s="65" t="str">
        <f ca="1">IF(Tableau3[[#This Row],[Date d''expiration ]]&gt;TODAY()+31,"✅",IF(Tableau3[[#This Row],[Date d''expiration ]]&gt; TODAY()+1, "⚠️","⛔️"))</f>
        <v>✅</v>
      </c>
      <c r="G39" s="6">
        <f t="shared" si="16"/>
        <v>46494</v>
      </c>
      <c r="H39" s="40" t="str">
        <f ca="1">IF( Tableau3[[#This Row],[Date d''expiration ]]&gt;TODAY(),"Néant","Cas à justifier")</f>
        <v>Néant</v>
      </c>
      <c r="I39" s="36">
        <v>35113</v>
      </c>
      <c r="J39" s="75">
        <f t="shared" ca="1" si="17"/>
        <v>30.548264594188819</v>
      </c>
      <c r="K39" s="75">
        <f>YEARFRAC(I39,RG_DRH_S1_008!$E$4,1)</f>
        <v>29.865851432743202</v>
      </c>
      <c r="L39" s="75">
        <f>YEARFRAC(I39,RG_DRH_S1_008!$E$5,1)</f>
        <v>30.865848273425772</v>
      </c>
      <c r="M39" s="3" t="s">
        <v>44</v>
      </c>
      <c r="N39" s="3" t="s">
        <v>45</v>
      </c>
      <c r="O39" s="33" t="s">
        <v>58</v>
      </c>
      <c r="P39" s="42">
        <v>45317</v>
      </c>
      <c r="Q39" s="41" t="s">
        <v>47</v>
      </c>
      <c r="R39" s="76">
        <f t="shared" si="18"/>
        <v>27.935051449070141</v>
      </c>
      <c r="S39" s="19" t="str">
        <f>IF(L39&lt;40,"4",IF(L39&lt;50,"3",IF(L39&lt;55,IF(Tableau3[[#This Row],[Fonction]]="Conducteur de ligne","2","3"),"1")))</f>
        <v>4</v>
      </c>
      <c r="T39" s="6">
        <f t="shared" si="19"/>
        <v>46778</v>
      </c>
      <c r="U39" s="42">
        <v>45033</v>
      </c>
      <c r="V39" s="41" t="s">
        <v>48</v>
      </c>
      <c r="W39" s="75">
        <f t="shared" si="20"/>
        <v>27.159479808350444</v>
      </c>
      <c r="X39" s="6" t="str">
        <f>IF(L39&lt;40,"4",IF(L39&lt;55,"3",IF(Tableau3[[#This Row],[Fonction]]="conducteur de ligne","1","2")))</f>
        <v>4</v>
      </c>
      <c r="Y39" s="6">
        <f t="shared" si="15"/>
        <v>46494</v>
      </c>
      <c r="Z39" s="42">
        <v>46139</v>
      </c>
      <c r="AA39" s="3" t="str">
        <f ca="1">IF(Tableau3[[#This Row],[Date prochaine évaluation]]&gt; TODAY(),"Réussi","Examen expiré")</f>
        <v>Réussi</v>
      </c>
      <c r="AB39" s="6">
        <f t="shared" si="21"/>
        <v>46504</v>
      </c>
      <c r="AC39" s="46" t="e">
        <f t="shared" ca="1" si="22"/>
        <v>#VALUE!</v>
      </c>
      <c r="AD39" s="143"/>
    </row>
    <row r="40" spans="2:30" ht="48" hidden="1" x14ac:dyDescent="0.35">
      <c r="B40" s="41" t="s">
        <v>160</v>
      </c>
      <c r="C40" s="51" t="s">
        <v>161</v>
      </c>
      <c r="D40" s="41" t="s">
        <v>56</v>
      </c>
      <c r="E40" s="39"/>
      <c r="F40" s="65" t="str">
        <f ca="1">IF(Tableau3[[#This Row],[Date d''expiration ]]&gt;TODAY()+31,"✅",IF(Tableau3[[#This Row],[Date d''expiration ]]&gt; TODAY()+1, "⚠️","⛔️"))</f>
        <v>✅</v>
      </c>
      <c r="G40" s="6">
        <f t="shared" si="16"/>
        <v>46317</v>
      </c>
      <c r="H40" s="40" t="str">
        <f ca="1">IF( Tableau3[[#This Row],[Date d''expiration ]]&gt;TODAY(),"Néant","Cas à justifier")</f>
        <v>Néant</v>
      </c>
      <c r="I40" s="36">
        <v>29768</v>
      </c>
      <c r="J40" s="75">
        <f t="shared" ca="1" si="17"/>
        <v>45.184096184750906</v>
      </c>
      <c r="K40" s="75">
        <f>YEARFRAC(I40,RG_DRH_S1_008!$E$4,1)</f>
        <v>44.501703577512771</v>
      </c>
      <c r="L40" s="75">
        <f>YEARFRAC(I40,RG_DRH_S1_008!$E$5,1)</f>
        <v>45.501696327599547</v>
      </c>
      <c r="M40" s="3" t="s">
        <v>44</v>
      </c>
      <c r="N40" s="3" t="s">
        <v>57</v>
      </c>
      <c r="O40" s="33" t="s">
        <v>58</v>
      </c>
      <c r="P40" s="42">
        <v>45789</v>
      </c>
      <c r="Q40" s="41" t="s">
        <v>47</v>
      </c>
      <c r="R40" s="76">
        <f t="shared" si="18"/>
        <v>43.863774641031881</v>
      </c>
      <c r="S40" s="19" t="str">
        <f>IF(L40&lt;40,"4",IF(L40&lt;50,"3",IF(L40&lt;55,IF(Tableau3[[#This Row],[Fonction]]="Conducteur de ligne","2","3"),"1")))</f>
        <v>3</v>
      </c>
      <c r="T40" s="6">
        <f t="shared" si="19"/>
        <v>46885</v>
      </c>
      <c r="U40" s="42">
        <v>45786</v>
      </c>
      <c r="V40" s="41" t="s">
        <v>48</v>
      </c>
      <c r="W40" s="75">
        <f t="shared" si="20"/>
        <v>43.855560963738135</v>
      </c>
      <c r="X40" s="6" t="str">
        <f>IF(L40&lt;40,"4",IF(L40&lt;55,"3",IF(Tableau3[[#This Row],[Fonction]]="conducteur de ligne","1","2")))</f>
        <v>3</v>
      </c>
      <c r="Y40" s="6">
        <f t="shared" si="15"/>
        <v>46882</v>
      </c>
      <c r="Z40" s="42">
        <v>45952</v>
      </c>
      <c r="AA40" s="3" t="str">
        <f ca="1">IF(Tableau3[[#This Row],[Date prochaine évaluation]]&gt; TODAY(),"Réussi","Examen expiré")</f>
        <v>Réussi</v>
      </c>
      <c r="AB40" s="6">
        <f t="shared" si="21"/>
        <v>46317</v>
      </c>
      <c r="AC40" s="46" t="e">
        <f t="shared" ca="1" si="22"/>
        <v>#VALUE!</v>
      </c>
      <c r="AD40" s="143"/>
    </row>
    <row r="41" spans="2:30" ht="48" hidden="1" x14ac:dyDescent="0.35">
      <c r="B41" s="41" t="s">
        <v>162</v>
      </c>
      <c r="C41" s="50" t="s">
        <v>163</v>
      </c>
      <c r="D41" s="41" t="s">
        <v>56</v>
      </c>
      <c r="E41" s="39"/>
      <c r="F41" s="65" t="str">
        <f ca="1">IF(Tableau3[[#This Row],[Date d''expiration ]]&gt;TODAY()+31,"✅",IF(Tableau3[[#This Row],[Date d''expiration ]]&gt; TODAY()+1, "⚠️","⛔️"))</f>
        <v>✅</v>
      </c>
      <c r="G41" s="6">
        <f t="shared" si="16"/>
        <v>46422</v>
      </c>
      <c r="H41" s="40" t="str">
        <f ca="1">IF( Tableau3[[#This Row],[Date d''expiration ]]&gt;TODAY(),"Néant","Cas à justifier")</f>
        <v>Néant</v>
      </c>
      <c r="I41" s="34">
        <v>34727</v>
      </c>
      <c r="J41" s="75">
        <f t="shared" ca="1" si="17"/>
        <v>31.605749486652979</v>
      </c>
      <c r="K41" s="75">
        <f>YEARFRAC(I41,RG_DRH_S1_008!$E$4,1)</f>
        <v>30.923341870529011</v>
      </c>
      <c r="L41" s="75">
        <f>YEARFRAC(I41,RG_DRH_S1_008!$E$5,1)</f>
        <v>31.923340177960302</v>
      </c>
      <c r="M41" s="3" t="s">
        <v>44</v>
      </c>
      <c r="N41" s="3" t="s">
        <v>45</v>
      </c>
      <c r="O41" s="33" t="s">
        <v>58</v>
      </c>
      <c r="P41" s="42">
        <v>45964</v>
      </c>
      <c r="Q41" s="41" t="s">
        <v>47</v>
      </c>
      <c r="R41" s="76">
        <f t="shared" si="18"/>
        <v>30.764550030910538</v>
      </c>
      <c r="S41" s="19" t="str">
        <f>IF(L41&lt;40,"4",IF(L41&lt;50,"3",IF(L41&lt;55,IF(Tableau3[[#This Row],[Fonction]]="Conducteur de ligne","2","3"),"1")))</f>
        <v>4</v>
      </c>
      <c r="T41" s="6">
        <f t="shared" si="19"/>
        <v>47425</v>
      </c>
      <c r="U41" s="42">
        <v>45971</v>
      </c>
      <c r="V41" s="41" t="s">
        <v>48</v>
      </c>
      <c r="W41" s="75">
        <f t="shared" si="20"/>
        <v>30.783714563278284</v>
      </c>
      <c r="X41" s="6" t="str">
        <f>IF(L41&lt;40,"4",IF(L41&lt;55,"3",IF(Tableau3[[#This Row],[Fonction]]="conducteur de ligne","1","2")))</f>
        <v>4</v>
      </c>
      <c r="Y41" s="6">
        <f t="shared" si="15"/>
        <v>47432</v>
      </c>
      <c r="Z41" s="42">
        <v>46057</v>
      </c>
      <c r="AA41" s="3" t="str">
        <f ca="1">IF(Tableau3[[#This Row],[Date prochaine évaluation]]&gt; TODAY(),"Réussi","Examen expiré")</f>
        <v>Réussi</v>
      </c>
      <c r="AB41" s="6">
        <f t="shared" si="21"/>
        <v>46422</v>
      </c>
      <c r="AC41" s="46" t="e">
        <f t="shared" ca="1" si="22"/>
        <v>#VALUE!</v>
      </c>
      <c r="AD41" s="143"/>
    </row>
    <row r="42" spans="2:30" ht="48" hidden="1" x14ac:dyDescent="0.35">
      <c r="B42" s="41" t="s">
        <v>164</v>
      </c>
      <c r="C42" s="51" t="s">
        <v>165</v>
      </c>
      <c r="D42" s="41" t="s">
        <v>56</v>
      </c>
      <c r="E42" s="39"/>
      <c r="F42" s="65" t="str">
        <f ca="1">IF(Tableau3[[#This Row],[Date d''expiration ]]&gt;TODAY()+31,"✅",IF(Tableau3[[#This Row],[Date d''expiration ]]&gt; TODAY()+1, "⚠️","⛔️"))</f>
        <v>✅</v>
      </c>
      <c r="G42" s="6">
        <f t="shared" si="16"/>
        <v>46541</v>
      </c>
      <c r="H42" s="40" t="str">
        <f ca="1">IF( Tableau3[[#This Row],[Date d''expiration ]]&gt;TODAY(),"Néant","Cas à justifier")</f>
        <v>Néant</v>
      </c>
      <c r="I42" s="36">
        <v>30746</v>
      </c>
      <c r="J42" s="75">
        <f t="shared" ca="1" si="17"/>
        <v>42.50445689545397</v>
      </c>
      <c r="K42" s="75">
        <f>YEARFRAC(I42,RG_DRH_S1_008!$E$4,1)</f>
        <v>41.822045498989638</v>
      </c>
      <c r="L42" s="75">
        <f>YEARFRAC(I42,RG_DRH_S1_008!$E$5,1)</f>
        <v>42.822042531516615</v>
      </c>
      <c r="M42" s="3" t="s">
        <v>44</v>
      </c>
      <c r="N42" s="3" t="s">
        <v>69</v>
      </c>
      <c r="O42" s="33" t="s">
        <v>58</v>
      </c>
      <c r="P42" s="42">
        <v>45589</v>
      </c>
      <c r="Q42" s="41" t="s">
        <v>47</v>
      </c>
      <c r="R42" s="76">
        <f t="shared" si="18"/>
        <v>40.635884081196586</v>
      </c>
      <c r="S42" s="19" t="str">
        <f>IF(L42&lt;40,"4",IF(L42&lt;50,"3",IF(L42&lt;55,IF(Tableau3[[#This Row],[Fonction]]="Conducteur de ligne","2","3"),"1")))</f>
        <v>3</v>
      </c>
      <c r="T42" s="6">
        <f t="shared" si="19"/>
        <v>46684</v>
      </c>
      <c r="U42" s="42">
        <v>45463</v>
      </c>
      <c r="V42" s="41" t="s">
        <v>48</v>
      </c>
      <c r="W42" s="75">
        <f t="shared" si="20"/>
        <v>40.290932158119659</v>
      </c>
      <c r="X42" s="6" t="str">
        <f>IF(L42&lt;40,"4",IF(L42&lt;55,"3",IF(Tableau3[[#This Row],[Fonction]]="conducteur de ligne","1","2")))</f>
        <v>3</v>
      </c>
      <c r="Y42" s="6">
        <f t="shared" si="15"/>
        <v>46558</v>
      </c>
      <c r="Z42" s="42">
        <v>46176</v>
      </c>
      <c r="AA42" s="3" t="str">
        <f ca="1">IF(Tableau3[[#This Row],[Date prochaine évaluation]]&gt; TODAY(),"Réussi","Examen expiré")</f>
        <v>Réussi</v>
      </c>
      <c r="AB42" s="6">
        <f t="shared" si="21"/>
        <v>46541</v>
      </c>
      <c r="AC42" s="46" t="e">
        <f t="shared" ca="1" si="22"/>
        <v>#VALUE!</v>
      </c>
      <c r="AD42" s="143"/>
    </row>
    <row r="43" spans="2:30" ht="48" hidden="1" x14ac:dyDescent="0.35">
      <c r="B43" s="41" t="s">
        <v>167</v>
      </c>
      <c r="C43" s="51" t="s">
        <v>168</v>
      </c>
      <c r="D43" s="41" t="s">
        <v>56</v>
      </c>
      <c r="E43" s="39"/>
      <c r="F43" s="65" t="str">
        <f ca="1">IF(Tableau3[[#This Row],[Date d''expiration ]]&gt;TODAY()+31,"✅",IF(Tableau3[[#This Row],[Date d''expiration ]]&gt; TODAY()+1, "⚠️","⛔️"))</f>
        <v>✅</v>
      </c>
      <c r="G43" s="6">
        <f t="shared" si="16"/>
        <v>46384</v>
      </c>
      <c r="H43" s="40" t="str">
        <f ca="1">IF( Tableau3[[#This Row],[Date d''expiration ]]&gt;TODAY(),"Néant","Cas à justifier")</f>
        <v>Néant</v>
      </c>
      <c r="I43" s="36">
        <v>30386</v>
      </c>
      <c r="J43" s="75">
        <f t="shared" ca="1" si="17"/>
        <v>43.49075975359343</v>
      </c>
      <c r="K43" s="75">
        <f>YEARFRAC(I43,RG_DRH_S1_008!$E$4,1)</f>
        <v>42.808353495479437</v>
      </c>
      <c r="L43" s="75">
        <f>YEARFRAC(I43,RG_DRH_S1_008!$E$5,1)</f>
        <v>43.808350444900753</v>
      </c>
      <c r="M43" s="3" t="s">
        <v>44</v>
      </c>
      <c r="N43" s="3" t="s">
        <v>45</v>
      </c>
      <c r="O43" s="33" t="s">
        <v>58</v>
      </c>
      <c r="P43" s="42">
        <v>45785</v>
      </c>
      <c r="Q43" s="41" t="s">
        <v>47</v>
      </c>
      <c r="R43" s="76">
        <f t="shared" si="18"/>
        <v>42.159493187316947</v>
      </c>
      <c r="S43" s="19" t="str">
        <f>IF(L43&lt;40,"4",IF(L43&lt;50,"3",IF(L43&lt;55,IF(Tableau3[[#This Row],[Fonction]]="Conducteur de ligne","2","3"),"1")))</f>
        <v>3</v>
      </c>
      <c r="T43" s="6">
        <f t="shared" si="19"/>
        <v>46881</v>
      </c>
      <c r="U43" s="42">
        <v>45288</v>
      </c>
      <c r="V43" s="41" t="s">
        <v>48</v>
      </c>
      <c r="W43" s="75">
        <f t="shared" si="20"/>
        <v>40.800133555926543</v>
      </c>
      <c r="X43" s="6" t="str">
        <f>IF(L43&lt;40,"4",IF(L43&lt;55,"3",IF(Tableau3[[#This Row],[Fonction]]="conducteur de ligne","1","2")))</f>
        <v>3</v>
      </c>
      <c r="Y43" s="6">
        <f t="shared" ref="Y43:Y46" si="23">EDATE(U43, (12*X43))</f>
        <v>46384</v>
      </c>
      <c r="Z43" s="42">
        <v>46181</v>
      </c>
      <c r="AA43" s="3" t="str">
        <f ca="1">IF(Tableau3[[#This Row],[Date prochaine évaluation]]&gt; TODAY(),"Réussi","Examen expiré")</f>
        <v>Réussi</v>
      </c>
      <c r="AB43" s="6">
        <f t="shared" si="21"/>
        <v>46546</v>
      </c>
      <c r="AC43" s="46" t="e">
        <f t="shared" ca="1" si="22"/>
        <v>#VALUE!</v>
      </c>
      <c r="AD43" s="143"/>
    </row>
    <row r="44" spans="2:30" ht="34.5" hidden="1" x14ac:dyDescent="0.35">
      <c r="B44" s="41" t="s">
        <v>169</v>
      </c>
      <c r="C44" s="52" t="s">
        <v>170</v>
      </c>
      <c r="D44" s="41" t="s">
        <v>56</v>
      </c>
      <c r="E44" s="39"/>
      <c r="F44" s="65" t="str">
        <f ca="1">IF(Tableau3[[#This Row],[Date d''expiration ]]&gt;TODAY()+31,"✅",IF(Tableau3[[#This Row],[Date d''expiration ]]&gt; TODAY()+1, "⚠️","⛔️"))</f>
        <v>✅</v>
      </c>
      <c r="G44" s="6">
        <f t="shared" si="16"/>
        <v>46437</v>
      </c>
      <c r="H44" s="40" t="str">
        <f ca="1">IF( Tableau3[[#This Row],[Date d''expiration ]]&gt;TODAY(),"Néant","Cas à justifier")</f>
        <v>Néant</v>
      </c>
      <c r="I44" s="37">
        <v>30944</v>
      </c>
      <c r="J44" s="75">
        <f t="shared" ca="1" si="17"/>
        <v>41.962371068381508</v>
      </c>
      <c r="K44" s="75">
        <f>YEARFRAC(I44,RG_DRH_S1_008!$E$4,1)</f>
        <v>41.279968711296526</v>
      </c>
      <c r="L44" s="75">
        <f>YEARFRAC(I44,RG_DRH_S1_008!$E$5,1)</f>
        <v>42.27995670444416</v>
      </c>
      <c r="M44" s="3" t="s">
        <v>44</v>
      </c>
      <c r="N44" s="3" t="s">
        <v>80</v>
      </c>
      <c r="O44" s="33" t="s">
        <v>81</v>
      </c>
      <c r="P44" s="42">
        <v>46035</v>
      </c>
      <c r="Q44" s="41" t="s">
        <v>47</v>
      </c>
      <c r="R44" s="76">
        <f t="shared" si="18"/>
        <v>41.316248567426463</v>
      </c>
      <c r="S44" s="19" t="str">
        <f>IF(L44&lt;40,"4",IF(L44&lt;50,"3",IF(L44&lt;55,IF(Tableau3[[#This Row],[Fonction]]="Conducteur de ligne","2","3"),"1")))</f>
        <v>3</v>
      </c>
      <c r="T44" s="6">
        <f t="shared" si="19"/>
        <v>47131</v>
      </c>
      <c r="U44" s="42">
        <v>45363</v>
      </c>
      <c r="V44" s="41" t="s">
        <v>48</v>
      </c>
      <c r="W44" s="75">
        <f t="shared" si="20"/>
        <v>39.475093482905983</v>
      </c>
      <c r="X44" s="6" t="str">
        <f>IF(L44&lt;40,"4",IF(L44&lt;55,"3",IF(Tableau3[[#This Row],[Fonction]]="conducteur de ligne","1","2")))</f>
        <v>3</v>
      </c>
      <c r="Y44" s="6">
        <f t="shared" si="23"/>
        <v>46458</v>
      </c>
      <c r="Z44" s="42">
        <v>46072</v>
      </c>
      <c r="AA44" s="3" t="str">
        <f ca="1">IF(Tableau3[[#This Row],[Date prochaine évaluation]]&gt; TODAY(),"Réussi","Examen expiré")</f>
        <v>Réussi</v>
      </c>
      <c r="AB44" s="6">
        <f t="shared" si="21"/>
        <v>46437</v>
      </c>
      <c r="AC44" s="46" t="e">
        <f t="shared" ca="1" si="22"/>
        <v>#VALUE!</v>
      </c>
      <c r="AD44" s="143"/>
    </row>
    <row r="45" spans="2:30" ht="48" hidden="1" x14ac:dyDescent="0.35">
      <c r="B45" s="41" t="s">
        <v>171</v>
      </c>
      <c r="C45" s="51" t="s">
        <v>172</v>
      </c>
      <c r="D45" s="41" t="s">
        <v>56</v>
      </c>
      <c r="E45" s="39"/>
      <c r="F45" s="65" t="str">
        <f ca="1">IF(Tableau3[[#This Row],[Date d''expiration ]]&gt;TODAY()+31,"✅",IF(Tableau3[[#This Row],[Date d''expiration ]]&gt; TODAY()+1, "⚠️","⛔️"))</f>
        <v>✅</v>
      </c>
      <c r="G45" s="6">
        <f t="shared" si="16"/>
        <v>46521</v>
      </c>
      <c r="H45" s="40" t="str">
        <f ca="1">IF( Tableau3[[#This Row],[Date d''expiration ]]&gt;TODAY(),"Néant","Cas à justifier")</f>
        <v>Néant</v>
      </c>
      <c r="I45" s="36">
        <v>27942</v>
      </c>
      <c r="J45" s="75">
        <f t="shared" ca="1" si="17"/>
        <v>50.181393601030706</v>
      </c>
      <c r="K45" s="75">
        <f>YEARFRAC(I45,RG_DRH_S1_008!$E$4,1)</f>
        <v>49.498987022942565</v>
      </c>
      <c r="L45" s="75">
        <f>YEARFRAC(I45,RG_DRH_S1_008!$E$5,1)</f>
        <v>50.49898003006227</v>
      </c>
      <c r="M45" s="3" t="s">
        <v>44</v>
      </c>
      <c r="N45" s="3" t="s">
        <v>173</v>
      </c>
      <c r="O45" s="33" t="s">
        <v>58</v>
      </c>
      <c r="P45" s="42">
        <v>46094</v>
      </c>
      <c r="Q45" s="41" t="s">
        <v>47</v>
      </c>
      <c r="R45" s="76">
        <f t="shared" si="18"/>
        <v>49.696800515353232</v>
      </c>
      <c r="S45" s="19" t="str">
        <f>IF(L45&lt;40,"4",IF(L45&lt;50,"3",IF(L45&lt;55,IF(Tableau3[[#This Row],[Fonction]]="Conducteur de ligne","2","3"),"1")))</f>
        <v>2</v>
      </c>
      <c r="T45" s="6">
        <f t="shared" si="19"/>
        <v>46825</v>
      </c>
      <c r="U45" s="42">
        <v>46094</v>
      </c>
      <c r="V45" s="41" t="s">
        <v>48</v>
      </c>
      <c r="W45" s="75">
        <f t="shared" si="20"/>
        <v>49.696800515353232</v>
      </c>
      <c r="X45" s="6" t="str">
        <f>IF(L45&lt;40,"4",IF(L45&lt;55,"3",IF(Tableau3[[#This Row],[Fonction]]="conducteur de ligne","1","2")))</f>
        <v>3</v>
      </c>
      <c r="Y45" s="6">
        <f t="shared" si="23"/>
        <v>47190</v>
      </c>
      <c r="Z45" s="42">
        <v>46156</v>
      </c>
      <c r="AA45" s="3" t="str">
        <f ca="1">IF(Tableau3[[#This Row],[Date prochaine évaluation]]&gt; TODAY(),"Réussi","Examen expiré")</f>
        <v>Réussi</v>
      </c>
      <c r="AB45" s="6">
        <f t="shared" si="21"/>
        <v>46521</v>
      </c>
      <c r="AC45" s="46" t="e">
        <f t="shared" ca="1" si="22"/>
        <v>#VALUE!</v>
      </c>
      <c r="AD45" s="143"/>
    </row>
    <row r="46" spans="2:30" ht="48" hidden="1" x14ac:dyDescent="0.35">
      <c r="B46" s="41" t="s">
        <v>174</v>
      </c>
      <c r="C46" s="52" t="s">
        <v>175</v>
      </c>
      <c r="D46" s="41" t="s">
        <v>56</v>
      </c>
      <c r="E46" s="39"/>
      <c r="F46" s="65" t="str">
        <f ca="1">IF(Tableau3[[#This Row],[Date d''expiration ]]&gt;TODAY()+31,"✅",IF(Tableau3[[#This Row],[Date d''expiration ]]&gt; TODAY()+1, "⚠️","⛔️"))</f>
        <v>✅</v>
      </c>
      <c r="G46" s="6">
        <f t="shared" si="16"/>
        <v>46400</v>
      </c>
      <c r="H46" s="40" t="str">
        <f ca="1">IF( Tableau3[[#This Row],[Date d''expiration ]]&gt;TODAY(),"Néant","Cas à justifier")</f>
        <v>Néant</v>
      </c>
      <c r="I46" s="37">
        <v>25487</v>
      </c>
      <c r="J46" s="75">
        <f t="shared" ca="1" si="17"/>
        <v>56.904833836858003</v>
      </c>
      <c r="K46" s="75">
        <f>YEARFRAC(I46,RG_DRH_S1_008!$E$4,1)</f>
        <v>56.222441039435132</v>
      </c>
      <c r="L46" s="75">
        <f>YEARFRAC(I46,RG_DRH_S1_008!$E$5,1)</f>
        <v>57.222432024169187</v>
      </c>
      <c r="M46" s="3" t="s">
        <v>44</v>
      </c>
      <c r="N46" s="3" t="s">
        <v>176</v>
      </c>
      <c r="O46" s="33" t="s">
        <v>58</v>
      </c>
      <c r="P46" s="42">
        <v>46065</v>
      </c>
      <c r="Q46" s="41" t="s">
        <v>47</v>
      </c>
      <c r="R46" s="76">
        <f t="shared" si="18"/>
        <v>56.340823262839876</v>
      </c>
      <c r="S46" s="19" t="str">
        <f>IF(L46&lt;40,"4",IF(L46&lt;50,"3",IF(L46&lt;55,IF(Tableau3[[#This Row],[Fonction]]="Conducteur de ligne","2","3"),"1")))</f>
        <v>1</v>
      </c>
      <c r="T46" s="6">
        <f t="shared" si="19"/>
        <v>46430</v>
      </c>
      <c r="U46" s="42">
        <v>46078</v>
      </c>
      <c r="V46" s="41" t="s">
        <v>48</v>
      </c>
      <c r="W46" s="75">
        <f t="shared" si="20"/>
        <v>56.376416163141997</v>
      </c>
      <c r="X46" s="6" t="str">
        <f>IF(L46&lt;40,"4",IF(L46&lt;55,"3",IF(Tableau3[[#This Row],[Fonction]]="conducteur de ligne","1","2")))</f>
        <v>1</v>
      </c>
      <c r="Y46" s="6">
        <f t="shared" si="23"/>
        <v>46443</v>
      </c>
      <c r="Z46" s="42">
        <v>46035</v>
      </c>
      <c r="AA46" s="3" t="str">
        <f ca="1">IF(Tableau3[[#This Row],[Date prochaine évaluation]]&gt; TODAY(),"Réussi","Examen expiré")</f>
        <v>Réussi</v>
      </c>
      <c r="AB46" s="6">
        <f t="shared" si="21"/>
        <v>46400</v>
      </c>
      <c r="AC46" s="46" t="e">
        <f t="shared" ca="1" si="22"/>
        <v>#VALUE!</v>
      </c>
      <c r="AD46" s="143"/>
    </row>
    <row r="47" spans="2:30" ht="48" hidden="1" x14ac:dyDescent="0.35">
      <c r="B47" s="41" t="s">
        <v>177</v>
      </c>
      <c r="C47" s="51" t="s">
        <v>178</v>
      </c>
      <c r="D47" s="41" t="s">
        <v>56</v>
      </c>
      <c r="E47" s="39"/>
      <c r="F47" s="65" t="str">
        <f ca="1">IF(Tableau3[[#This Row],[Date d''expiration ]]&gt;TODAY()+31,"✅",IF(Tableau3[[#This Row],[Date d''expiration ]]&gt; TODAY()+1, "⚠️","⛔️"))</f>
        <v>✅</v>
      </c>
      <c r="G47" s="6">
        <f t="shared" si="16"/>
        <v>46334</v>
      </c>
      <c r="H47" s="40" t="str">
        <f ca="1">IF( Tableau3[[#This Row],[Date d''expiration ]]&gt;TODAY(),"Néant","Cas à justifier")</f>
        <v>Néant</v>
      </c>
      <c r="I47" s="32">
        <v>35440</v>
      </c>
      <c r="J47" s="75">
        <f t="shared" ref="J47:J61" ca="1" si="24">YEARFRAC(I47,TODAY(),1)</f>
        <v>29.655015058866478</v>
      </c>
      <c r="K47" s="75">
        <f>YEARFRAC(I47,RG_DRH_S1_008!$E$4,1)</f>
        <v>28.972620845921451</v>
      </c>
      <c r="L47" s="75">
        <f>YEARFRAC(I47,RG_DRH_S1_008!$E$5,1)</f>
        <v>29.972620242767178</v>
      </c>
      <c r="M47" s="3" t="s">
        <v>44</v>
      </c>
      <c r="N47" s="3" t="s">
        <v>45</v>
      </c>
      <c r="O47" s="33" t="s">
        <v>58</v>
      </c>
      <c r="P47" s="42">
        <v>45180</v>
      </c>
      <c r="Q47" s="41" t="s">
        <v>47</v>
      </c>
      <c r="R47" s="76">
        <f t="shared" si="18"/>
        <v>26.668694858533616</v>
      </c>
      <c r="S47" s="19" t="str">
        <f>IF(L47&lt;40,"4",IF(L47&lt;50,"3",IF(L47&lt;55,IF(Tableau3[[#This Row],[Fonction]]="Conducteur de ligne","2","3"),"1")))</f>
        <v>4</v>
      </c>
      <c r="T47" s="6">
        <f t="shared" si="19"/>
        <v>46641</v>
      </c>
      <c r="U47" s="42">
        <v>44873</v>
      </c>
      <c r="V47" s="41" t="s">
        <v>48</v>
      </c>
      <c r="W47" s="75">
        <f t="shared" si="20"/>
        <v>25.827506318449874</v>
      </c>
      <c r="X47" s="6" t="str">
        <f>IF(L47&lt;40,"4",IF(L47&lt;55,"3",IF(Tableau3[[#This Row],[Fonction]]="conducteur de ligne","1","2")))</f>
        <v>4</v>
      </c>
      <c r="Y47" s="6">
        <f t="shared" ref="Y47:Y61" si="25">EDATE(U47, (12*X47))</f>
        <v>46334</v>
      </c>
      <c r="Z47" s="42">
        <v>46132</v>
      </c>
      <c r="AA47" s="3" t="str">
        <f ca="1">IF(Tableau3[[#This Row],[Date prochaine évaluation]]&gt; TODAY(),"Réussi","Examen expiré")</f>
        <v>Réussi</v>
      </c>
      <c r="AB47" s="6">
        <f>EDATE(Z47, 12)</f>
        <v>46497</v>
      </c>
      <c r="AC47" s="46" t="e">
        <f t="shared" ca="1" si="22"/>
        <v>#VALUE!</v>
      </c>
      <c r="AD47" s="143"/>
    </row>
    <row r="48" spans="2:30" ht="48" hidden="1" x14ac:dyDescent="0.35">
      <c r="B48" s="41" t="s">
        <v>180</v>
      </c>
      <c r="C48" s="52" t="s">
        <v>181</v>
      </c>
      <c r="D48" s="41" t="s">
        <v>56</v>
      </c>
      <c r="E48" s="39"/>
      <c r="F48" s="65" t="str">
        <f ca="1">IF(Tableau3[[#This Row],[Date d''expiration ]]&gt;TODAY()+31,"✅",IF(Tableau3[[#This Row],[Date d''expiration ]]&gt; TODAY()+1, "⚠️","⛔️"))</f>
        <v>✅</v>
      </c>
      <c r="G48" s="6">
        <f t="shared" ref="G48:G63" si="26">MIN(T48,Y48,AB48)</f>
        <v>46493</v>
      </c>
      <c r="H48" s="40" t="str">
        <f ca="1">IF( Tableau3[[#This Row],[Date d''expiration ]]&gt;TODAY(),"Néant","Cas à justifier")</f>
        <v>Néant</v>
      </c>
      <c r="I48" s="37">
        <v>31436</v>
      </c>
      <c r="J48" s="75">
        <f t="shared" ca="1" si="24"/>
        <v>40.616694490818027</v>
      </c>
      <c r="K48" s="75">
        <f>YEARFRAC(I48,RG_DRH_S1_008!$E$4,1)</f>
        <v>39.93429158110883</v>
      </c>
      <c r="L48" s="75">
        <f>YEARFRAC(I48,RG_DRH_S1_008!$E$5,1)</f>
        <v>40.934290484140234</v>
      </c>
      <c r="M48" s="3" t="s">
        <v>44</v>
      </c>
      <c r="N48" s="3" t="s">
        <v>45</v>
      </c>
      <c r="O48" s="33" t="s">
        <v>58</v>
      </c>
      <c r="P48" s="42">
        <v>46148</v>
      </c>
      <c r="Q48" s="41" t="s">
        <v>47</v>
      </c>
      <c r="R48" s="76">
        <f t="shared" ref="R48:R63" si="27">YEARFRAC(I48,P48,1)</f>
        <v>40.279933222036725</v>
      </c>
      <c r="S48" s="19" t="str">
        <f>IF(L48&lt;40,"4",IF(L48&lt;50,"3",IF(L48&lt;55,IF(Tableau3[[#This Row],[Fonction]]="Conducteur de ligne","2","3"),"1")))</f>
        <v>3</v>
      </c>
      <c r="T48" s="6">
        <f t="shared" si="19"/>
        <v>47244</v>
      </c>
      <c r="U48" s="42">
        <v>46023</v>
      </c>
      <c r="V48" s="41" t="s">
        <v>48</v>
      </c>
      <c r="W48" s="75">
        <f t="shared" ref="W48:W63" si="28">YEARFRAC(I48,U48,1)</f>
        <v>39.937696160267109</v>
      </c>
      <c r="X48" s="6" t="str">
        <f>IF(L48&lt;40,"4",IF(L48&lt;55,"3",IF(Tableau3[[#This Row],[Fonction]]="conducteur de ligne","1","2")))</f>
        <v>3</v>
      </c>
      <c r="Y48" s="6">
        <f t="shared" si="25"/>
        <v>47119</v>
      </c>
      <c r="Z48" s="42">
        <v>46128</v>
      </c>
      <c r="AA48" s="3" t="str">
        <f ca="1">IF(Tableau3[[#This Row],[Date prochaine évaluation]]&gt; TODAY(),"Réussi","Examen expiré")</f>
        <v>Réussi</v>
      </c>
      <c r="AB48" s="6">
        <f t="shared" si="21"/>
        <v>46493</v>
      </c>
      <c r="AC48" s="46" t="e">
        <f t="shared" ca="1" si="22"/>
        <v>#VALUE!</v>
      </c>
      <c r="AD48" s="143"/>
    </row>
    <row r="49" spans="2:30" ht="48" hidden="1" x14ac:dyDescent="0.35">
      <c r="B49" s="41" t="s">
        <v>182</v>
      </c>
      <c r="C49" s="53" t="s">
        <v>183</v>
      </c>
      <c r="D49" s="41" t="s">
        <v>56</v>
      </c>
      <c r="E49" s="39"/>
      <c r="F49" s="65" t="str">
        <f ca="1">IF(Tableau3[[#This Row],[Date d''expiration ]]&gt;TODAY()+31,"✅",IF(Tableau3[[#This Row],[Date d''expiration ]]&gt; TODAY()+1, "⚠️","⛔️"))</f>
        <v>✅</v>
      </c>
      <c r="G49" s="6">
        <f t="shared" si="26"/>
        <v>46432</v>
      </c>
      <c r="H49" s="40" t="str">
        <f ca="1">IF( Tableau3[[#This Row],[Date d''expiration ]]&gt;TODAY(),"Néant","Cas à justifier")</f>
        <v>Néant</v>
      </c>
      <c r="I49" s="35">
        <v>30348</v>
      </c>
      <c r="J49" s="75">
        <f t="shared" ca="1" si="24"/>
        <v>43.59479808350445</v>
      </c>
      <c r="K49" s="75">
        <f>YEARFRAC(I49,RG_DRH_S1_008!$E$4,1)</f>
        <v>42.912390169362027</v>
      </c>
      <c r="L49" s="75">
        <f>YEARFRAC(I49,RG_DRH_S1_008!$E$5,1)</f>
        <v>43.912388774811774</v>
      </c>
      <c r="M49" s="3" t="s">
        <v>44</v>
      </c>
      <c r="N49" s="3" t="s">
        <v>45</v>
      </c>
      <c r="O49" s="33" t="s">
        <v>58</v>
      </c>
      <c r="P49" s="42">
        <v>45345</v>
      </c>
      <c r="Q49" s="41" t="s">
        <v>47</v>
      </c>
      <c r="R49" s="76">
        <f t="shared" si="27"/>
        <v>41.058210025422071</v>
      </c>
      <c r="S49" s="19" t="str">
        <f>IF(L49&lt;40,"4",IF(L49&lt;50,"3",IF(L49&lt;55,IF(Tableau3[[#This Row],[Fonction]]="Conducteur de ligne","2","3"),"1")))</f>
        <v>3</v>
      </c>
      <c r="T49" s="6">
        <f t="shared" si="19"/>
        <v>46441</v>
      </c>
      <c r="U49" s="42">
        <v>45345</v>
      </c>
      <c r="V49" s="41" t="s">
        <v>48</v>
      </c>
      <c r="W49" s="75">
        <f t="shared" si="28"/>
        <v>41.058210025422071</v>
      </c>
      <c r="X49" s="6" t="str">
        <f>IF(L49&lt;40,"4",IF(L49&lt;55,"3",IF(Tableau3[[#This Row],[Fonction]]="conducteur de ligne","1","2")))</f>
        <v>3</v>
      </c>
      <c r="Y49" s="6">
        <f t="shared" si="25"/>
        <v>46441</v>
      </c>
      <c r="Z49" s="42">
        <v>46067</v>
      </c>
      <c r="AA49" s="3" t="str">
        <f ca="1">IF(Tableau3[[#This Row],[Date prochaine évaluation]]&gt; TODAY(),"Réussi","Examen expiré")</f>
        <v>Réussi</v>
      </c>
      <c r="AB49" s="6">
        <f t="shared" ref="AB49:AB63" si="29">EDATE(Z49, 12)</f>
        <v>46432</v>
      </c>
      <c r="AC49" s="46" t="e">
        <f t="shared" ca="1" si="22"/>
        <v>#VALUE!</v>
      </c>
      <c r="AD49" s="143"/>
    </row>
    <row r="50" spans="2:30" ht="48" hidden="1" x14ac:dyDescent="0.35">
      <c r="B50" s="41" t="s">
        <v>184</v>
      </c>
      <c r="C50" s="50" t="s">
        <v>185</v>
      </c>
      <c r="D50" s="41" t="s">
        <v>56</v>
      </c>
      <c r="E50" s="39"/>
      <c r="F50" s="65" t="str">
        <f ca="1">IF(Tableau3[[#This Row],[Date d''expiration ]]&gt;TODAY()+31,"✅",IF(Tableau3[[#This Row],[Date d''expiration ]]&gt; TODAY()+1, "⚠️","⛔️"))</f>
        <v>✅</v>
      </c>
      <c r="G50" s="6">
        <f t="shared" si="26"/>
        <v>46498</v>
      </c>
      <c r="H50" s="40" t="str">
        <f ca="1">IF( Tableau3[[#This Row],[Date d''expiration ]]&gt;TODAY(),"Néant","Cas à justifier")</f>
        <v>Néant</v>
      </c>
      <c r="I50" s="34">
        <v>30873</v>
      </c>
      <c r="J50" s="75">
        <f t="shared" ca="1" si="24"/>
        <v>42.156755380109516</v>
      </c>
      <c r="K50" s="75">
        <f>YEARFRAC(I50,RG_DRH_S1_008!$E$4,1)</f>
        <v>41.474349781630927</v>
      </c>
      <c r="L50" s="75">
        <f>YEARFRAC(I50,RG_DRH_S1_008!$E$5,1)</f>
        <v>42.474341016172161</v>
      </c>
      <c r="M50" s="3" t="s">
        <v>44</v>
      </c>
      <c r="N50" s="3" t="s">
        <v>45</v>
      </c>
      <c r="O50" s="33" t="s">
        <v>58</v>
      </c>
      <c r="P50" s="42">
        <v>45628</v>
      </c>
      <c r="Q50" s="41" t="s">
        <v>47</v>
      </c>
      <c r="R50" s="76">
        <f t="shared" si="27"/>
        <v>40.394965277777779</v>
      </c>
      <c r="S50" s="19" t="str">
        <f>IF(L50&lt;40,"4",IF(L50&lt;50,"3",IF(L50&lt;55,IF(Tableau3[[#This Row],[Fonction]]="Conducteur de ligne","2","3"),"1")))</f>
        <v>3</v>
      </c>
      <c r="T50" s="6">
        <f t="shared" ref="T50" si="30">EDATE(P50, (12*S50))</f>
        <v>46723</v>
      </c>
      <c r="U50" s="42">
        <v>45615</v>
      </c>
      <c r="V50" s="41" t="s">
        <v>48</v>
      </c>
      <c r="W50" s="75">
        <f t="shared" si="28"/>
        <v>40.359375</v>
      </c>
      <c r="X50" s="6" t="str">
        <f>IF(L50&lt;40,"4",IF(L50&lt;55,"3",IF(Tableau3[[#This Row],[Fonction]]="conducteur de ligne","1","2")))</f>
        <v>3</v>
      </c>
      <c r="Y50" s="6">
        <f t="shared" si="25"/>
        <v>46710</v>
      </c>
      <c r="Z50" s="42">
        <v>46133</v>
      </c>
      <c r="AA50" s="3" t="str">
        <f ca="1">IF(Tableau3[[#This Row],[Date prochaine évaluation]]&gt; TODAY(),"Réussi","Examen expiré")</f>
        <v>Réussi</v>
      </c>
      <c r="AB50" s="6">
        <f t="shared" si="29"/>
        <v>46498</v>
      </c>
      <c r="AC50" s="46" t="e">
        <f t="shared" ca="1" si="22"/>
        <v>#VALUE!</v>
      </c>
      <c r="AD50" s="143"/>
    </row>
    <row r="51" spans="2:30" ht="34.5" hidden="1" x14ac:dyDescent="0.35">
      <c r="B51" s="41" t="s">
        <v>186</v>
      </c>
      <c r="C51" s="53" t="s">
        <v>187</v>
      </c>
      <c r="D51" s="41" t="s">
        <v>56</v>
      </c>
      <c r="E51" s="39"/>
      <c r="F51" s="65" t="str">
        <f ca="1">IF(Tableau3[[#This Row],[Date d''expiration ]]&gt;TODAY()+31,"✅",IF(Tableau3[[#This Row],[Date d''expiration ]]&gt; TODAY()+1, "⚠️","⛔️"))</f>
        <v>✅</v>
      </c>
      <c r="G51" s="6">
        <f t="shared" si="26"/>
        <v>46389</v>
      </c>
      <c r="H51" s="40" t="str">
        <f ca="1">IF( Tableau3[[#This Row],[Date d''expiration ]]&gt;TODAY(),"Néant","Cas à justifier")</f>
        <v>Néant</v>
      </c>
      <c r="I51" s="35">
        <v>25385</v>
      </c>
      <c r="J51" s="75">
        <f t="shared" ca="1" si="24"/>
        <v>57.184101208459218</v>
      </c>
      <c r="K51" s="75">
        <f>YEARFRAC(I51,RG_DRH_S1_008!$E$4,1)</f>
        <v>56.501705173159131</v>
      </c>
      <c r="L51" s="75">
        <f>YEARFRAC(I51,RG_DRH_S1_008!$E$5,1)</f>
        <v>57.501699395770395</v>
      </c>
      <c r="M51" s="3" t="s">
        <v>44</v>
      </c>
      <c r="N51" s="3" t="s">
        <v>80</v>
      </c>
      <c r="O51" s="33" t="s">
        <v>81</v>
      </c>
      <c r="P51" s="42">
        <v>46024</v>
      </c>
      <c r="Q51" s="41" t="s">
        <v>47</v>
      </c>
      <c r="R51" s="76">
        <f t="shared" si="27"/>
        <v>56.507836102719033</v>
      </c>
      <c r="S51" s="19" t="str">
        <f>IF(L51&lt;40,"4",IF(L51&lt;50,"3",IF(L51&lt;55,IF(Tableau3[[#This Row],[Fonction]]="Conducteur de ligne","2","3"),"1")))</f>
        <v>1</v>
      </c>
      <c r="T51" s="6">
        <f t="shared" ref="T51:T65" si="31">EDATE(P51, (12*S51))</f>
        <v>46389</v>
      </c>
      <c r="U51" s="42">
        <v>46024</v>
      </c>
      <c r="V51" s="41" t="s">
        <v>48</v>
      </c>
      <c r="W51" s="75">
        <f t="shared" si="28"/>
        <v>56.507836102719033</v>
      </c>
      <c r="X51" s="6" t="str">
        <f>IF(L51&lt;40,"4",IF(L51&lt;55,"3",IF(Tableau3[[#This Row],[Fonction]]="conducteur de ligne","1","2")))</f>
        <v>1</v>
      </c>
      <c r="Y51" s="6">
        <f t="shared" si="25"/>
        <v>46389</v>
      </c>
      <c r="Z51" s="42">
        <v>46069</v>
      </c>
      <c r="AA51" s="3" t="str">
        <f ca="1">IF(Tableau3[[#This Row],[Date prochaine évaluation]]&gt; TODAY(),"Réussi","Examen expiré")</f>
        <v>Réussi</v>
      </c>
      <c r="AB51" s="6">
        <f t="shared" si="29"/>
        <v>46434</v>
      </c>
      <c r="AC51" s="46" t="e">
        <f t="shared" ca="1" si="22"/>
        <v>#VALUE!</v>
      </c>
      <c r="AD51" s="143"/>
    </row>
    <row r="52" spans="2:30" ht="108" hidden="1" customHeight="1" x14ac:dyDescent="0.35">
      <c r="B52" s="41" t="s">
        <v>189</v>
      </c>
      <c r="C52" s="53" t="s">
        <v>190</v>
      </c>
      <c r="D52" s="41" t="s">
        <v>56</v>
      </c>
      <c r="E52" s="39"/>
      <c r="F52" s="65" t="str">
        <f ca="1">IF(Tableau3[[#This Row],[Date d''expiration ]]&gt;TODAY()+31,"✅",IF(Tableau3[[#This Row],[Date d''expiration ]]&gt; TODAY()+1, "⚠️","⛔️"))</f>
        <v>⚠️</v>
      </c>
      <c r="G52" s="6">
        <f t="shared" si="26"/>
        <v>46277</v>
      </c>
      <c r="H52" s="40" t="str">
        <f ca="1">IF( Tableau3[[#This Row],[Date d''expiration ]]&gt;TODAY(),"Néant","Cas à justifier")</f>
        <v>Néant</v>
      </c>
      <c r="I52" s="35">
        <v>31218</v>
      </c>
      <c r="J52" s="75">
        <f t="shared" ca="1" si="24"/>
        <v>41.214211212516297</v>
      </c>
      <c r="K52" s="75">
        <f>YEARFRAC(I52,RG_DRH_S1_008!$E$4,1)</f>
        <v>40.531819699499167</v>
      </c>
      <c r="L52" s="75">
        <f>YEARFRAC(I52,RG_DRH_S1_008!$E$5,1)</f>
        <v>41.53181225554107</v>
      </c>
      <c r="M52" s="3" t="s">
        <v>44</v>
      </c>
      <c r="N52" s="3" t="s">
        <v>191</v>
      </c>
      <c r="O52" s="33" t="s">
        <v>58</v>
      </c>
      <c r="P52" s="42">
        <v>45821</v>
      </c>
      <c r="Q52" s="41" t="s">
        <v>47</v>
      </c>
      <c r="R52" s="76">
        <f t="shared" si="27"/>
        <v>39.981502504173619</v>
      </c>
      <c r="S52" s="19" t="str">
        <f>IF(L52&lt;40,"4",IF(L52&lt;50,"3",IF(L52&lt;55,IF(Tableau3[[#This Row],[Fonction]]="Conducteur de ligne","2","3"),"1")))</f>
        <v>3</v>
      </c>
      <c r="T52" s="6">
        <f>EDATE(P52, (12*S52))</f>
        <v>46917</v>
      </c>
      <c r="U52" s="42">
        <v>45181</v>
      </c>
      <c r="V52" s="41" t="s">
        <v>48</v>
      </c>
      <c r="W52" s="75">
        <f t="shared" si="28"/>
        <v>38.230623420387531</v>
      </c>
      <c r="X52" s="6" t="str">
        <f>IF(L52&lt;40,"4",IF(L52&lt;55,"3",IF(Tableau3[[#This Row],[Fonction]]="conducteur de ligne","1","2")))</f>
        <v>3</v>
      </c>
      <c r="Y52" s="6">
        <f t="shared" si="25"/>
        <v>46277</v>
      </c>
      <c r="Z52" s="42">
        <v>46069</v>
      </c>
      <c r="AA52" s="3" t="str">
        <f ca="1">IF(Tableau3[[#This Row],[Date prochaine évaluation]]&gt; TODAY(),"Réussi","Examen expiré")</f>
        <v>Réussi</v>
      </c>
      <c r="AB52" s="6">
        <f t="shared" si="29"/>
        <v>46434</v>
      </c>
      <c r="AC52" s="46" t="e">
        <f t="shared" ca="1" si="22"/>
        <v>#VALUE!</v>
      </c>
      <c r="AD52" s="143"/>
    </row>
    <row r="53" spans="2:30" ht="48" hidden="1" x14ac:dyDescent="0.35">
      <c r="B53" s="41" t="s">
        <v>192</v>
      </c>
      <c r="C53" s="53" t="s">
        <v>193</v>
      </c>
      <c r="D53" s="41" t="s">
        <v>56</v>
      </c>
      <c r="E53" s="39"/>
      <c r="F53" s="65" t="str">
        <f ca="1">IF(Tableau3[[#This Row],[Date d''expiration ]]&gt;TODAY()+31,"✅",IF(Tableau3[[#This Row],[Date d''expiration ]]&gt; TODAY()+1, "⚠️","⛔️"))</f>
        <v>✅</v>
      </c>
      <c r="G53" s="6">
        <f t="shared" si="26"/>
        <v>46543</v>
      </c>
      <c r="H53" s="40" t="str">
        <f ca="1">IF( Tableau3[[#This Row],[Date d''expiration ]]&gt;TODAY(),"Néant","Cas à justifier")</f>
        <v>Néant</v>
      </c>
      <c r="I53" s="35">
        <v>34591</v>
      </c>
      <c r="J53" s="75">
        <f t="shared" ca="1" si="24"/>
        <v>31.978760474570645</v>
      </c>
      <c r="K53" s="75">
        <f>YEARFRAC(I53,RG_DRH_S1_008!$E$4,1)</f>
        <v>31.296372347707049</v>
      </c>
      <c r="L53" s="75">
        <f>YEARFRAC(I53,RG_DRH_S1_008!$E$5,1)</f>
        <v>32.296357753256451</v>
      </c>
      <c r="M53" s="3" t="s">
        <v>44</v>
      </c>
      <c r="N53" s="3" t="s">
        <v>128</v>
      </c>
      <c r="O53" s="33" t="s">
        <v>58</v>
      </c>
      <c r="P53" s="42">
        <v>45560</v>
      </c>
      <c r="Q53" s="41" t="s">
        <v>47</v>
      </c>
      <c r="R53" s="76">
        <f t="shared" si="27"/>
        <v>30.030822220259648</v>
      </c>
      <c r="S53" s="19" t="str">
        <f>IF(L53&lt;40,"4",IF(L53&lt;50,"3",IF(L53&lt;55,IF(Tableau3[[#This Row],[Fonction]]="Conducteur de ligne","2","3"),"1")))</f>
        <v>4</v>
      </c>
      <c r="T53" s="6">
        <f t="shared" si="31"/>
        <v>47021</v>
      </c>
      <c r="U53" s="42">
        <v>45558</v>
      </c>
      <c r="V53" s="41" t="s">
        <v>48</v>
      </c>
      <c r="W53" s="75">
        <f t="shared" si="28"/>
        <v>30.025346639583152</v>
      </c>
      <c r="X53" s="6" t="str">
        <f>IF(L53&lt;40,"4",IF(L53&lt;55,"3",IF(Tableau3[[#This Row],[Fonction]]="conducteur de ligne","1","2")))</f>
        <v>4</v>
      </c>
      <c r="Y53" s="6">
        <f t="shared" si="25"/>
        <v>47019</v>
      </c>
      <c r="Z53" s="42">
        <v>46178</v>
      </c>
      <c r="AA53" s="3" t="str">
        <f ca="1">IF(Tableau3[[#This Row],[Date prochaine évaluation]]&gt; TODAY(),"Réussi","Examen expiré")</f>
        <v>Réussi</v>
      </c>
      <c r="AB53" s="6">
        <f t="shared" si="29"/>
        <v>46543</v>
      </c>
      <c r="AC53" s="46" t="e">
        <f t="shared" ca="1" si="22"/>
        <v>#VALUE!</v>
      </c>
      <c r="AD53" s="143"/>
    </row>
    <row r="54" spans="2:30" ht="34.5" hidden="1" x14ac:dyDescent="0.35">
      <c r="B54" s="41" t="s">
        <v>196</v>
      </c>
      <c r="C54" s="50" t="s">
        <v>197</v>
      </c>
      <c r="D54" s="41" t="s">
        <v>56</v>
      </c>
      <c r="E54" s="39"/>
      <c r="F54" s="65" t="str">
        <f ca="1">IF(Tableau3[[#This Row],[Date d''expiration ]]&gt;TODAY()+31,"✅",IF(Tableau3[[#This Row],[Date d''expiration ]]&gt; TODAY()+1, "⚠️","⛔️"))</f>
        <v>✅</v>
      </c>
      <c r="G54" s="6">
        <f t="shared" si="26"/>
        <v>46430</v>
      </c>
      <c r="H54" s="40" t="str">
        <f ca="1">IF( Tableau3[[#This Row],[Date d''expiration ]]&gt;TODAY(),"Néant","Cas à justifier")</f>
        <v>Néant</v>
      </c>
      <c r="I54" s="34">
        <v>27848</v>
      </c>
      <c r="J54" s="75">
        <f t="shared" ca="1" si="24"/>
        <v>50.438748121108013</v>
      </c>
      <c r="K54" s="75">
        <f>YEARFRAC(I54,RG_DRH_S1_008!$E$4,1)</f>
        <v>49.756337951048572</v>
      </c>
      <c r="L54" s="75">
        <f>YEARFRAC(I54,RG_DRH_S1_008!$E$5,1)</f>
        <v>50.756334550139577</v>
      </c>
      <c r="M54" s="3" t="s">
        <v>44</v>
      </c>
      <c r="N54" s="3" t="s">
        <v>80</v>
      </c>
      <c r="O54" s="33" t="s">
        <v>81</v>
      </c>
      <c r="P54" s="42">
        <v>46116</v>
      </c>
      <c r="Q54" s="41" t="s">
        <v>47</v>
      </c>
      <c r="R54" s="76">
        <f t="shared" si="27"/>
        <v>50.014386944384796</v>
      </c>
      <c r="S54" s="19" t="str">
        <f>IF(L54&lt;40,"4",IF(L54&lt;50,"3",IF(L54&lt;55,IF(Tableau3[[#This Row],[Fonction]]="Conducteur de ligne","2","3"),"1")))</f>
        <v>2</v>
      </c>
      <c r="T54" s="6">
        <f t="shared" si="31"/>
        <v>46847</v>
      </c>
      <c r="U54" s="42">
        <v>46111</v>
      </c>
      <c r="V54" s="41" t="s">
        <v>48</v>
      </c>
      <c r="W54" s="75">
        <f t="shared" si="28"/>
        <v>50.000697874167919</v>
      </c>
      <c r="X54" s="6" t="str">
        <f>IF(L54&lt;40,"4",IF(L54&lt;55,"3",IF(Tableau3[[#This Row],[Fonction]]="conducteur de ligne","1","2")))</f>
        <v>3</v>
      </c>
      <c r="Y54" s="6">
        <f t="shared" si="25"/>
        <v>47207</v>
      </c>
      <c r="Z54" s="42">
        <v>46065</v>
      </c>
      <c r="AA54" s="3" t="str">
        <f ca="1">IF(Tableau3[[#This Row],[Date prochaine évaluation]]&gt; TODAY(),"Réussi","Examen expiré")</f>
        <v>Réussi</v>
      </c>
      <c r="AB54" s="6">
        <f t="shared" si="29"/>
        <v>46430</v>
      </c>
      <c r="AC54" s="46" t="e">
        <f t="shared" ca="1" si="22"/>
        <v>#VALUE!</v>
      </c>
      <c r="AD54" s="143"/>
    </row>
    <row r="55" spans="2:30" ht="48" hidden="1" x14ac:dyDescent="0.35">
      <c r="B55" s="41" t="s">
        <v>198</v>
      </c>
      <c r="C55" s="53" t="s">
        <v>199</v>
      </c>
      <c r="D55" s="41" t="s">
        <v>56</v>
      </c>
      <c r="E55" s="39"/>
      <c r="F55" s="65" t="str">
        <f ca="1">IF(Tableau3[[#This Row],[Date d''expiration ]]&gt;TODAY()+31,"✅",IF(Tableau3[[#This Row],[Date d''expiration ]]&gt; TODAY()+1, "⚠️","⛔️"))</f>
        <v>✅</v>
      </c>
      <c r="G55" s="6">
        <f t="shared" si="26"/>
        <v>46419</v>
      </c>
      <c r="H55" s="40" t="str">
        <f ca="1">IF( Tableau3[[#This Row],[Date d''expiration ]]&gt;TODAY(),"Néant","Cas à justifier")</f>
        <v>Néant</v>
      </c>
      <c r="I55" s="35">
        <v>30605</v>
      </c>
      <c r="J55" s="75">
        <f t="shared" ca="1" si="24"/>
        <v>42.891170431211499</v>
      </c>
      <c r="K55" s="75">
        <f>YEARFRAC(I55,RG_DRH_S1_008!$E$4,1)</f>
        <v>42.208773717050811</v>
      </c>
      <c r="L55" s="75">
        <f>YEARFRAC(I55,RG_DRH_S1_008!$E$5,1)</f>
        <v>43.208761122518823</v>
      </c>
      <c r="M55" s="3" t="s">
        <v>44</v>
      </c>
      <c r="N55" s="3" t="s">
        <v>45</v>
      </c>
      <c r="O55" s="33" t="s">
        <v>58</v>
      </c>
      <c r="P55" s="42">
        <v>45323</v>
      </c>
      <c r="Q55" s="41" t="s">
        <v>47</v>
      </c>
      <c r="R55" s="76">
        <f t="shared" si="27"/>
        <v>40.29437455185451</v>
      </c>
      <c r="S55" s="19" t="str">
        <f>IF(L55&lt;40,"4",IF(L55&lt;50,"3",IF(L55&lt;55,IF(Tableau3[[#This Row],[Fonction]]="Conducteur de ligne","2","3"),"1")))</f>
        <v>3</v>
      </c>
      <c r="T55" s="6">
        <f t="shared" si="31"/>
        <v>46419</v>
      </c>
      <c r="U55" s="42">
        <v>45595</v>
      </c>
      <c r="V55" s="41" t="s">
        <v>48</v>
      </c>
      <c r="W55" s="75">
        <f t="shared" si="28"/>
        <v>41.039045694544029</v>
      </c>
      <c r="X55" s="6" t="str">
        <f>IF(L55&lt;40,"4",IF(L55&lt;55,"3",IF(Tableau3[[#This Row],[Fonction]]="conducteur de ligne","1","2")))</f>
        <v>3</v>
      </c>
      <c r="Y55" s="6">
        <f t="shared" si="25"/>
        <v>46690</v>
      </c>
      <c r="Z55" s="42">
        <v>46156</v>
      </c>
      <c r="AA55" s="3" t="str">
        <f ca="1">IF(Tableau3[[#This Row],[Date prochaine évaluation]]&gt; TODAY(),"Réussi","Examen expiré")</f>
        <v>Réussi</v>
      </c>
      <c r="AB55" s="6">
        <f t="shared" si="29"/>
        <v>46521</v>
      </c>
      <c r="AC55" s="46" t="e">
        <f t="shared" ca="1" si="22"/>
        <v>#VALUE!</v>
      </c>
      <c r="AD55" s="143"/>
    </row>
    <row r="56" spans="2:30" ht="48" hidden="1" x14ac:dyDescent="0.35">
      <c r="B56" s="41" t="s">
        <v>200</v>
      </c>
      <c r="C56" s="50" t="s">
        <v>201</v>
      </c>
      <c r="D56" s="41" t="s">
        <v>56</v>
      </c>
      <c r="E56" s="39"/>
      <c r="F56" s="65" t="str">
        <f ca="1">IF(Tableau3[[#This Row],[Date d''expiration ]]&gt;TODAY()+31,"✅",IF(Tableau3[[#This Row],[Date d''expiration ]]&gt; TODAY()+1, "⚠️","⛔️"))</f>
        <v>✅</v>
      </c>
      <c r="G56" s="6">
        <f t="shared" si="26"/>
        <v>46368</v>
      </c>
      <c r="H56" s="40" t="str">
        <f ca="1">IF( Tableau3[[#This Row],[Date d''expiration ]]&gt;TODAY(),"Néant","Cas à justifier")</f>
        <v>Néant</v>
      </c>
      <c r="I56" s="34">
        <v>30317</v>
      </c>
      <c r="J56" s="75">
        <f t="shared" ca="1" si="24"/>
        <v>43.679671457905542</v>
      </c>
      <c r="K56" s="75">
        <f>YEARFRAC(I56,RG_DRH_S1_008!$E$4,1)</f>
        <v>42.997262192792562</v>
      </c>
      <c r="L56" s="75">
        <f>YEARFRAC(I56,RG_DRH_S1_008!$E$5,1)</f>
        <v>43.997262149212865</v>
      </c>
      <c r="M56" s="3" t="s">
        <v>44</v>
      </c>
      <c r="N56" s="3" t="s">
        <v>131</v>
      </c>
      <c r="O56" s="33" t="s">
        <v>58</v>
      </c>
      <c r="P56" s="42">
        <v>45313</v>
      </c>
      <c r="Q56" s="41" t="s">
        <v>47</v>
      </c>
      <c r="R56" s="76">
        <f t="shared" si="27"/>
        <v>41.055472263868069</v>
      </c>
      <c r="S56" s="19" t="str">
        <f>IF(L56&lt;40,"4",IF(L56&lt;50,"3",IF(L56&lt;55,IF(Tableau3[[#This Row],[Fonction]]="Conducteur de ligne","2","3"),"1")))</f>
        <v>3</v>
      </c>
      <c r="T56" s="6">
        <f t="shared" si="31"/>
        <v>46409</v>
      </c>
      <c r="U56" s="42">
        <v>46043</v>
      </c>
      <c r="V56" s="41" t="s">
        <v>48</v>
      </c>
      <c r="W56" s="75">
        <f t="shared" si="28"/>
        <v>43.055441478439427</v>
      </c>
      <c r="X56" s="6" t="str">
        <f>IF(L56&lt;40,"4",IF(L56&lt;55,"3",IF(Tableau3[[#This Row],[Fonction]]="conducteur de ligne","1","2")))</f>
        <v>3</v>
      </c>
      <c r="Y56" s="6">
        <f t="shared" si="25"/>
        <v>47139</v>
      </c>
      <c r="Z56" s="42">
        <v>46003</v>
      </c>
      <c r="AA56" s="3" t="str">
        <f ca="1">IF(Tableau3[[#This Row],[Date prochaine évaluation]]&gt; TODAY(),"Réussi","Examen expiré")</f>
        <v>Réussi</v>
      </c>
      <c r="AB56" s="6">
        <f>EDATE(Z56, 12)</f>
        <v>46368</v>
      </c>
      <c r="AC56" s="46" t="e">
        <f t="shared" ca="1" si="22"/>
        <v>#VALUE!</v>
      </c>
      <c r="AD56" s="143"/>
    </row>
    <row r="57" spans="2:30" ht="48" hidden="1" x14ac:dyDescent="0.35">
      <c r="B57" s="41" t="s">
        <v>202</v>
      </c>
      <c r="C57" s="51" t="s">
        <v>203</v>
      </c>
      <c r="D57" s="41" t="s">
        <v>56</v>
      </c>
      <c r="E57" s="39"/>
      <c r="F57" s="65" t="str">
        <f ca="1">IF(Tableau3[[#This Row],[Date d''expiration ]]&gt;TODAY()+31,"✅",IF(Tableau3[[#This Row],[Date d''expiration ]]&gt; TODAY()+1, "⚠️","⛔️"))</f>
        <v>⛔️</v>
      </c>
      <c r="G57" s="6">
        <f t="shared" si="26"/>
        <v>46269</v>
      </c>
      <c r="H57" s="40" t="str">
        <f ca="1">IF( Tableau3[[#This Row],[Date d''expiration ]]&gt;TODAY(),"Néant","Cas à justifier")</f>
        <v>Cas à justifier</v>
      </c>
      <c r="I57" s="36">
        <v>34280</v>
      </c>
      <c r="J57" s="75">
        <f t="shared" ca="1" si="24"/>
        <v>32.830890642615557</v>
      </c>
      <c r="K57" s="75">
        <f>YEARFRAC(I57,RG_DRH_S1_008!$E$4,1)</f>
        <v>32.148510744213056</v>
      </c>
      <c r="L57" s="75">
        <f>YEARFRAC(I57,RG_DRH_S1_008!$E$5,1)</f>
        <v>33.14849412143662</v>
      </c>
      <c r="M57" s="3" t="s">
        <v>44</v>
      </c>
      <c r="N57" s="3" t="s">
        <v>128</v>
      </c>
      <c r="O57" s="33" t="s">
        <v>58</v>
      </c>
      <c r="P57" s="42">
        <v>45350</v>
      </c>
      <c r="Q57" s="41" t="s">
        <v>47</v>
      </c>
      <c r="R57" s="76">
        <f t="shared" si="27"/>
        <v>30.308008213552363</v>
      </c>
      <c r="S57" s="19" t="str">
        <f>IF(L57&lt;40,"4",IF(L57&lt;50,"3",IF(L57&lt;55,IF(Tableau3[[#This Row],[Fonction]]="Conducteur de ligne","2","3"),"1")))</f>
        <v>4</v>
      </c>
      <c r="T57" s="6">
        <f t="shared" si="31"/>
        <v>46811</v>
      </c>
      <c r="U57" s="42">
        <v>45587</v>
      </c>
      <c r="V57" s="41" t="s">
        <v>48</v>
      </c>
      <c r="W57" s="75">
        <f t="shared" si="28"/>
        <v>30.956878850102669</v>
      </c>
      <c r="X57" s="6" t="str">
        <f>IF(L57&lt;40,"4",IF(L57&lt;55,"3",IF(Tableau3[[#This Row],[Fonction]]="conducteur de ligne","1","2")))</f>
        <v>4</v>
      </c>
      <c r="Y57" s="6">
        <f t="shared" si="25"/>
        <v>47048</v>
      </c>
      <c r="Z57" s="42">
        <v>45904</v>
      </c>
      <c r="AA57" s="3" t="str">
        <f ca="1">IF(Tableau3[[#This Row],[Date prochaine évaluation]]&gt; TODAY(),"Réussi","Examen expiré")</f>
        <v>Examen expiré</v>
      </c>
      <c r="AB57" s="6">
        <f t="shared" si="29"/>
        <v>46269</v>
      </c>
      <c r="AC57" s="46" t="e">
        <f t="shared" ca="1" si="22"/>
        <v>#VALUE!</v>
      </c>
      <c r="AD57" s="143"/>
    </row>
    <row r="58" spans="2:30" ht="48" hidden="1" x14ac:dyDescent="0.35">
      <c r="B58" s="41" t="s">
        <v>205</v>
      </c>
      <c r="C58" s="50" t="s">
        <v>206</v>
      </c>
      <c r="D58" s="41" t="s">
        <v>56</v>
      </c>
      <c r="E58" s="39"/>
      <c r="F58" s="65" t="str">
        <f ca="1">IF(Tableau3[[#This Row],[Date d''expiration ]]&gt;TODAY()+31,"✅",IF(Tableau3[[#This Row],[Date d''expiration ]]&gt; TODAY()+1, "⚠️","⛔️"))</f>
        <v>✅</v>
      </c>
      <c r="G58" s="6">
        <f t="shared" si="26"/>
        <v>46425</v>
      </c>
      <c r="H58" s="40" t="str">
        <f ca="1">IF( Tableau3[[#This Row],[Date d''expiration ]]&gt;TODAY(),"Néant","Cas à justifier")</f>
        <v>Néant</v>
      </c>
      <c r="I58" s="34">
        <v>26950</v>
      </c>
      <c r="J58" s="75">
        <f t="shared" ca="1" si="24"/>
        <v>52.899356081731987</v>
      </c>
      <c r="K58" s="75">
        <f>YEARFRAC(I58,RG_DRH_S1_008!$E$4,1)</f>
        <v>52.216964562454798</v>
      </c>
      <c r="L58" s="75">
        <f>YEARFRAC(I58,RG_DRH_S1_008!$E$5,1)</f>
        <v>53.216954824316787</v>
      </c>
      <c r="M58" s="3" t="s">
        <v>44</v>
      </c>
      <c r="N58" s="3" t="s">
        <v>191</v>
      </c>
      <c r="O58" s="33" t="s">
        <v>58</v>
      </c>
      <c r="P58" s="42">
        <v>46038</v>
      </c>
      <c r="Q58" s="41" t="s">
        <v>47</v>
      </c>
      <c r="R58" s="76">
        <f t="shared" si="27"/>
        <v>52.261420676367692</v>
      </c>
      <c r="S58" s="19" t="str">
        <f>IF(L58&lt;40,"4",IF(L58&lt;50,"3",IF(L58&lt;55,IF(Tableau3[[#This Row],[Fonction]]="Conducteur de ligne","2","3"),"1")))</f>
        <v>2</v>
      </c>
      <c r="T58" s="6">
        <f t="shared" si="31"/>
        <v>46768</v>
      </c>
      <c r="U58" s="42">
        <v>45813</v>
      </c>
      <c r="V58" s="41" t="s">
        <v>48</v>
      </c>
      <c r="W58" s="75">
        <f t="shared" si="28"/>
        <v>51.644746358094842</v>
      </c>
      <c r="X58" s="6" t="str">
        <f>IF(L58&lt;40,"4",IF(L58&lt;55,"3",IF(Tableau3[[#This Row],[Fonction]]="conducteur de ligne","1","2")))</f>
        <v>3</v>
      </c>
      <c r="Y58" s="6">
        <f t="shared" si="25"/>
        <v>46909</v>
      </c>
      <c r="Z58" s="42">
        <v>46060</v>
      </c>
      <c r="AA58" s="3" t="str">
        <f ca="1">IF(Tableau3[[#This Row],[Date prochaine évaluation]]&gt; TODAY(),"Réussi","Examen expiré")</f>
        <v>Réussi</v>
      </c>
      <c r="AB58" s="6">
        <f t="shared" si="29"/>
        <v>46425</v>
      </c>
      <c r="AC58" s="46" t="e">
        <f t="shared" ca="1" si="22"/>
        <v>#VALUE!</v>
      </c>
      <c r="AD58" s="143"/>
    </row>
    <row r="59" spans="2:30" ht="34.5" hidden="1" x14ac:dyDescent="0.35">
      <c r="B59" s="41" t="s">
        <v>207</v>
      </c>
      <c r="C59" s="52" t="s">
        <v>208</v>
      </c>
      <c r="D59" s="41" t="s">
        <v>56</v>
      </c>
      <c r="E59" s="39"/>
      <c r="F59" s="65" t="str">
        <f ca="1">IF(Tableau3[[#This Row],[Date d''expiration ]]&gt;TODAY()+31,"✅",IF(Tableau3[[#This Row],[Date d''expiration ]]&gt; TODAY()+1, "⚠️","⛔️"))</f>
        <v>⛔️</v>
      </c>
      <c r="G59" s="6">
        <f t="shared" si="26"/>
        <v>46234</v>
      </c>
      <c r="H59" s="40" t="str">
        <f ca="1">IF( Tableau3[[#This Row],[Date d''expiration ]]&gt;TODAY(),"Néant","Cas à justifier")</f>
        <v>Cas à justifier</v>
      </c>
      <c r="I59" s="37">
        <v>25849</v>
      </c>
      <c r="J59" s="75">
        <f t="shared" ca="1" si="24"/>
        <v>55.913060185407559</v>
      </c>
      <c r="K59" s="75">
        <f>YEARFRAC(I59,RG_DRH_S1_008!$E$4,1)</f>
        <v>55.230663928815879</v>
      </c>
      <c r="L59" s="75">
        <f>YEARFRAC(I59,RG_DRH_S1_008!$E$5,1)</f>
        <v>56.230654690427009</v>
      </c>
      <c r="M59" s="3" t="s">
        <v>44</v>
      </c>
      <c r="N59" s="3" t="s">
        <v>80</v>
      </c>
      <c r="O59" s="33" t="s">
        <v>81</v>
      </c>
      <c r="P59" s="42">
        <v>45874</v>
      </c>
      <c r="Q59" s="41" t="s">
        <v>47</v>
      </c>
      <c r="R59" s="76">
        <f t="shared" si="27"/>
        <v>54.82546201232033</v>
      </c>
      <c r="S59" s="19" t="str">
        <f>IF(L59&lt;40,"4",IF(L59&lt;50,"3",IF(L59&lt;55,IF(Tableau3[[#This Row],[Fonction]]="Conducteur de ligne","2","3"),"1")))</f>
        <v>1</v>
      </c>
      <c r="T59" s="6">
        <f>EDATE(P59, (12*S59))</f>
        <v>46239</v>
      </c>
      <c r="U59" s="42">
        <v>45869</v>
      </c>
      <c r="V59" s="41" t="s">
        <v>48</v>
      </c>
      <c r="W59" s="75">
        <f t="shared" si="28"/>
        <v>54.81177275838467</v>
      </c>
      <c r="X59" s="6" t="str">
        <f>IF(L59&lt;40,"4",IF(L59&lt;55,"3",IF(Tableau3[[#This Row],[Fonction]]="conducteur de ligne","1","2")))</f>
        <v>1</v>
      </c>
      <c r="Y59" s="6">
        <f t="shared" si="25"/>
        <v>46234</v>
      </c>
      <c r="Z59" s="42">
        <v>45961</v>
      </c>
      <c r="AA59" s="3" t="str">
        <f ca="1">IF(Tableau3[[#This Row],[Date prochaine évaluation]]&gt; TODAY(),"Réussi","Examen expiré")</f>
        <v>Réussi</v>
      </c>
      <c r="AB59" s="6">
        <f t="shared" si="29"/>
        <v>46326</v>
      </c>
      <c r="AC59" s="46" t="e">
        <f t="shared" ca="1" si="22"/>
        <v>#VALUE!</v>
      </c>
      <c r="AD59" s="143"/>
    </row>
    <row r="60" spans="2:30" ht="48" hidden="1" x14ac:dyDescent="0.35">
      <c r="B60" s="41" t="s">
        <v>209</v>
      </c>
      <c r="C60" s="50" t="s">
        <v>210</v>
      </c>
      <c r="D60" s="41" t="s">
        <v>56</v>
      </c>
      <c r="E60" s="39"/>
      <c r="F60" s="65" t="str">
        <f ca="1">IF(Tableau3[[#This Row],[Date d''expiration ]]&gt;TODAY()+31,"✅",IF(Tableau3[[#This Row],[Date d''expiration ]]&gt; TODAY()+1, "⚠️","⛔️"))</f>
        <v>✅</v>
      </c>
      <c r="G60" s="6">
        <f t="shared" si="26"/>
        <v>46481</v>
      </c>
      <c r="H60" s="40" t="str">
        <f ca="1">IF( Tableau3[[#This Row],[Date d''expiration ]]&gt;TODAY(),"Néant","Cas à justifier")</f>
        <v>Néant</v>
      </c>
      <c r="I60" s="34">
        <v>27694</v>
      </c>
      <c r="J60" s="75">
        <f t="shared" ca="1" si="24"/>
        <v>50.861054072553046</v>
      </c>
      <c r="K60" s="75">
        <f>YEARFRAC(I60,RG_DRH_S1_008!$E$4,1)</f>
        <v>50.178655786987335</v>
      </c>
      <c r="L60" s="75">
        <f>YEARFRAC(I60,RG_DRH_S1_008!$E$5,1)</f>
        <v>51.178644763860369</v>
      </c>
      <c r="M60" s="3" t="s">
        <v>44</v>
      </c>
      <c r="N60" s="3" t="s">
        <v>45</v>
      </c>
      <c r="O60" s="33" t="s">
        <v>58</v>
      </c>
      <c r="P60" s="42">
        <v>45751</v>
      </c>
      <c r="Q60" s="41" t="s">
        <v>47</v>
      </c>
      <c r="R60" s="76">
        <f t="shared" si="27"/>
        <v>49.436708181232554</v>
      </c>
      <c r="S60" s="19" t="str">
        <f>IF(L60&lt;40,"4",IF(L60&lt;50,"3",IF(L60&lt;55,IF(Tableau3[[#This Row],[Fonction]]="Conducteur de ligne","2","3"),"1")))</f>
        <v>2</v>
      </c>
      <c r="T60" s="6">
        <f t="shared" si="31"/>
        <v>46481</v>
      </c>
      <c r="U60" s="42">
        <v>45750</v>
      </c>
      <c r="V60" s="41" t="s">
        <v>48</v>
      </c>
      <c r="W60" s="75">
        <f t="shared" si="28"/>
        <v>49.433970367189175</v>
      </c>
      <c r="X60" s="6" t="str">
        <f>IF(L60&lt;40,"4",IF(L60&lt;55,"3",IF(Tableau3[[#This Row],[Fonction]]="conducteur de ligne","1","2")))</f>
        <v>3</v>
      </c>
      <c r="Y60" s="6">
        <f t="shared" si="25"/>
        <v>46846</v>
      </c>
      <c r="Z60" s="42">
        <v>46175</v>
      </c>
      <c r="AA60" s="3" t="str">
        <f ca="1">IF(Tableau3[[#This Row],[Date prochaine évaluation]]&gt; TODAY(),"Réussi","Examen expiré")</f>
        <v>Réussi</v>
      </c>
      <c r="AB60" s="6">
        <f t="shared" si="29"/>
        <v>46540</v>
      </c>
      <c r="AC60" s="46" t="e">
        <f t="shared" ca="1" si="22"/>
        <v>#VALUE!</v>
      </c>
      <c r="AD60" s="143"/>
    </row>
    <row r="61" spans="2:30" ht="34.5" hidden="1" x14ac:dyDescent="0.35">
      <c r="B61" s="41" t="s">
        <v>211</v>
      </c>
      <c r="C61" s="53" t="s">
        <v>212</v>
      </c>
      <c r="D61" s="41" t="s">
        <v>56</v>
      </c>
      <c r="E61" s="39"/>
      <c r="F61" s="65" t="str">
        <f ca="1">IF(Tableau3[[#This Row],[Date d''expiration ]]&gt;TODAY()+31,"✅",IF(Tableau3[[#This Row],[Date d''expiration ]]&gt; TODAY()+1, "⚠️","⛔️"))</f>
        <v>⛔️</v>
      </c>
      <c r="G61" s="6">
        <f t="shared" si="26"/>
        <v>46177</v>
      </c>
      <c r="H61" s="108" t="s">
        <v>156</v>
      </c>
      <c r="I61" s="35">
        <v>25991</v>
      </c>
      <c r="J61" s="75">
        <f t="shared" ca="1" si="24"/>
        <v>55.523613963039011</v>
      </c>
      <c r="K61" s="75">
        <f>YEARFRAC(I61,RG_DRH_S1_008!$E$4,1)</f>
        <v>54.841206630494298</v>
      </c>
      <c r="L61" s="75">
        <f>YEARFRAC(I61,RG_DRH_S1_008!$E$5,1)</f>
        <v>55.841204654346335</v>
      </c>
      <c r="M61" s="3" t="s">
        <v>44</v>
      </c>
      <c r="N61" s="3" t="s">
        <v>80</v>
      </c>
      <c r="O61" s="33" t="s">
        <v>81</v>
      </c>
      <c r="P61" s="42">
        <v>45996</v>
      </c>
      <c r="Q61" s="41" t="s">
        <v>47</v>
      </c>
      <c r="R61" s="76">
        <f t="shared" si="27"/>
        <v>54.770023395888295</v>
      </c>
      <c r="S61" s="19" t="str">
        <f>IF(L61&lt;40,"4",IF(L61&lt;50,"3",IF(L61&lt;55,IF(Tableau3[[#This Row],[Fonction]]="Conducteur de ligne","2","3"),"1")))</f>
        <v>1</v>
      </c>
      <c r="T61" s="6">
        <f t="shared" si="31"/>
        <v>46361</v>
      </c>
      <c r="U61" s="42">
        <v>45812</v>
      </c>
      <c r="V61" s="41" t="s">
        <v>48</v>
      </c>
      <c r="W61" s="75">
        <f t="shared" si="28"/>
        <v>54.266265120215046</v>
      </c>
      <c r="X61" s="6" t="str">
        <f>IF(L61&lt;40,"4",IF(L61&lt;55,"3",IF(Tableau3[[#This Row],[Fonction]]="conducteur de ligne","1","2")))</f>
        <v>1</v>
      </c>
      <c r="Y61" s="6">
        <f t="shared" si="25"/>
        <v>46177</v>
      </c>
      <c r="Z61" s="42">
        <v>46146</v>
      </c>
      <c r="AA61" s="3" t="str">
        <f ca="1">IF(Tableau3[[#This Row],[Date prochaine évaluation]]&gt; TODAY(),"Réussi","Examen expiré")</f>
        <v>Réussi</v>
      </c>
      <c r="AB61" s="6">
        <f t="shared" si="29"/>
        <v>46511</v>
      </c>
      <c r="AC61" s="46" t="e">
        <f t="shared" ca="1" si="22"/>
        <v>#VALUE!</v>
      </c>
      <c r="AD61" s="143"/>
    </row>
    <row r="62" spans="2:30" ht="64" hidden="1" x14ac:dyDescent="0.35">
      <c r="B62" s="41" t="s">
        <v>214</v>
      </c>
      <c r="C62" s="53" t="s">
        <v>215</v>
      </c>
      <c r="D62" s="41" t="s">
        <v>56</v>
      </c>
      <c r="E62" s="39"/>
      <c r="F62" s="65" t="str">
        <f ca="1">IF(Tableau3[[#This Row],[Date d''expiration ]]&gt;TODAY()+31,"✅",IF(Tableau3[[#This Row],[Date d''expiration ]]&gt; TODAY()+1, "⚠️","⛔️"))</f>
        <v>✅</v>
      </c>
      <c r="G62" s="6">
        <f t="shared" si="26"/>
        <v>46335</v>
      </c>
      <c r="H62" s="40" t="str">
        <f ca="1">IF( Tableau3[[#This Row],[Date d''expiration ]]&gt;TODAY(),"Néant","Cas à justifier")</f>
        <v>Néant</v>
      </c>
      <c r="I62" s="35">
        <v>33872</v>
      </c>
      <c r="J62" s="75">
        <f t="shared" ref="J62:J73" ca="1" si="32">YEARFRAC(I62,TODAY(),1)</f>
        <v>33.945948060075096</v>
      </c>
      <c r="K62" s="75">
        <f>YEARFRAC(I62,RG_DRH_S1_008!$E$4,1)</f>
        <v>33.263547789677112</v>
      </c>
      <c r="L62" s="75">
        <f>YEARFRAC(I62,RG_DRH_S1_008!$E$5,1)</f>
        <v>34.263532540675847</v>
      </c>
      <c r="M62" s="3" t="s">
        <v>44</v>
      </c>
      <c r="N62" s="3" t="s">
        <v>128</v>
      </c>
      <c r="O62" s="33" t="s">
        <v>73</v>
      </c>
      <c r="P62" s="42">
        <v>46174</v>
      </c>
      <c r="Q62" s="41" t="s">
        <v>47</v>
      </c>
      <c r="R62" s="76">
        <f t="shared" si="27"/>
        <v>33.680381727158945</v>
      </c>
      <c r="S62" s="19" t="str">
        <f>IF(L62&lt;40,"4",IF(L62&lt;50,"3",IF(L62&lt;55,IF(Tableau3[[#This Row],[Fonction]]="Conducteur de ligne","2","3"),"1")))</f>
        <v>4</v>
      </c>
      <c r="T62" s="6">
        <f t="shared" si="31"/>
        <v>47635</v>
      </c>
      <c r="U62" s="42">
        <v>45695</v>
      </c>
      <c r="V62" s="41" t="s">
        <v>48</v>
      </c>
      <c r="W62" s="75">
        <f t="shared" si="28"/>
        <v>32.368306626942591</v>
      </c>
      <c r="X62" s="6" t="str">
        <f>IF(L62&lt;40,"4",IF(L62&lt;55,"3",IF(Tableau3[[#This Row],[Fonction]]="conducteur de ligne","1","2")))</f>
        <v>4</v>
      </c>
      <c r="Y62" s="6">
        <f t="shared" ref="Y62:Y73" si="33">EDATE(U62, (12*X62))</f>
        <v>47156</v>
      </c>
      <c r="Z62" s="42">
        <v>45970</v>
      </c>
      <c r="AA62" s="3" t="str">
        <f ca="1">IF(Tableau3[[#This Row],[Date prochaine évaluation]]&gt; TODAY(),"Réussi","Examen expiré")</f>
        <v>Réussi</v>
      </c>
      <c r="AB62" s="6">
        <f t="shared" si="29"/>
        <v>46335</v>
      </c>
      <c r="AC62" s="46" t="e">
        <f t="shared" ca="1" si="22"/>
        <v>#VALUE!</v>
      </c>
      <c r="AD62" s="143"/>
    </row>
    <row r="63" spans="2:30" ht="48" hidden="1" x14ac:dyDescent="0.35">
      <c r="B63" s="41" t="s">
        <v>216</v>
      </c>
      <c r="C63" s="50" t="s">
        <v>217</v>
      </c>
      <c r="D63" s="41" t="s">
        <v>56</v>
      </c>
      <c r="E63" s="39"/>
      <c r="F63" s="65" t="str">
        <f ca="1">IF(Tableau3[[#This Row],[Date d''expiration ]]&gt;TODAY()+31,"✅",IF(Tableau3[[#This Row],[Date d''expiration ]]&gt; TODAY()+1, "⚠️","⛔️"))</f>
        <v>✅</v>
      </c>
      <c r="G63" s="6">
        <f t="shared" si="26"/>
        <v>46529</v>
      </c>
      <c r="H63" s="40" t="str">
        <f ca="1">IF( Tableau3[[#This Row],[Date d''expiration ]]&gt;TODAY(),"Néant","Cas à justifier")</f>
        <v>Néant</v>
      </c>
      <c r="I63" s="34">
        <v>36220</v>
      </c>
      <c r="J63" s="75">
        <f t="shared" ca="1" si="32"/>
        <v>27.518138261464749</v>
      </c>
      <c r="K63" s="75">
        <f>YEARFRAC(I63,RG_DRH_S1_008!$E$4,1)</f>
        <v>26.835733117014804</v>
      </c>
      <c r="L63" s="75">
        <f>YEARFRAC(I63,RG_DRH_S1_008!$E$5,1)</f>
        <v>27.835728952772072</v>
      </c>
      <c r="M63" s="3" t="s">
        <v>44</v>
      </c>
      <c r="N63" s="3" t="s">
        <v>72</v>
      </c>
      <c r="O63" s="33" t="s">
        <v>58</v>
      </c>
      <c r="P63" s="42">
        <v>45068</v>
      </c>
      <c r="Q63" s="41" t="s">
        <v>47</v>
      </c>
      <c r="R63" s="76">
        <f t="shared" si="27"/>
        <v>24.225167013470593</v>
      </c>
      <c r="S63" s="19" t="str">
        <f>IF(L63&lt;40,"4",IF(L63&lt;50,"3",IF(L63&lt;55,IF(Tableau3[[#This Row],[Fonction]]="Conducteur de ligne","2","3"),"1")))</f>
        <v>4</v>
      </c>
      <c r="T63" s="6">
        <f t="shared" si="31"/>
        <v>46529</v>
      </c>
      <c r="U63" s="42">
        <v>45576</v>
      </c>
      <c r="V63" s="41" t="s">
        <v>48</v>
      </c>
      <c r="W63" s="75">
        <f t="shared" si="28"/>
        <v>25.613983363167314</v>
      </c>
      <c r="X63" s="6" t="str">
        <f>IF(L63&lt;40,"4",IF(L63&lt;55,"3",IF(Tableau3[[#This Row],[Fonction]]="conducteur de ligne","1","2")))</f>
        <v>4</v>
      </c>
      <c r="Y63" s="6">
        <f t="shared" si="33"/>
        <v>47037</v>
      </c>
      <c r="Z63" s="42">
        <v>46188</v>
      </c>
      <c r="AA63" s="3" t="str">
        <f ca="1">IF(Tableau3[[#This Row],[Date prochaine évaluation]]&gt; TODAY(),"Réussi","Examen expiré")</f>
        <v>Réussi</v>
      </c>
      <c r="AB63" s="6">
        <f t="shared" si="29"/>
        <v>46553</v>
      </c>
      <c r="AC63" s="46" t="e">
        <f t="shared" ca="1" si="22"/>
        <v>#VALUE!</v>
      </c>
      <c r="AD63" s="143"/>
    </row>
    <row r="64" spans="2:30" ht="48" hidden="1" x14ac:dyDescent="0.35">
      <c r="B64" s="41" t="s">
        <v>219</v>
      </c>
      <c r="C64" s="50" t="s">
        <v>220</v>
      </c>
      <c r="D64" s="41" t="s">
        <v>56</v>
      </c>
      <c r="E64" s="39"/>
      <c r="F64" s="65" t="str">
        <f ca="1">IF(Tableau3[[#This Row],[Date d''expiration ]]&gt;TODAY()+31,"✅",IF(Tableau3[[#This Row],[Date d''expiration ]]&gt; TODAY()+1, "⚠️","⛔️"))</f>
        <v>✅</v>
      </c>
      <c r="G64" s="6">
        <f t="shared" ref="G64:G69" si="34">MIN(T64,Y64,AB64)</f>
        <v>46512</v>
      </c>
      <c r="H64" s="40" t="str">
        <f ca="1">IF( Tableau3[[#This Row],[Date d''expiration ]]&gt;TODAY(),"Néant","Cas à justifier")</f>
        <v>Néant</v>
      </c>
      <c r="I64" s="34">
        <v>29992</v>
      </c>
      <c r="J64" s="75">
        <f t="shared" ca="1" si="32"/>
        <v>44.570150888293988</v>
      </c>
      <c r="K64" s="75">
        <f>YEARFRAC(I64,RG_DRH_S1_008!$E$4,1)</f>
        <v>43.887748117727583</v>
      </c>
      <c r="L64" s="75">
        <f>YEARFRAC(I64,RG_DRH_S1_008!$E$5,1)</f>
        <v>44.887746410318812</v>
      </c>
      <c r="M64" s="3" t="s">
        <v>44</v>
      </c>
      <c r="N64" s="3" t="s">
        <v>128</v>
      </c>
      <c r="O64" s="33" t="s">
        <v>58</v>
      </c>
      <c r="P64" s="42">
        <v>46188</v>
      </c>
      <c r="Q64" s="41" t="s">
        <v>47</v>
      </c>
      <c r="R64" s="76">
        <f t="shared" ref="R64:R69" si="35">YEARFRAC(I64,P64,1)</f>
        <v>44.342905816500362</v>
      </c>
      <c r="S64" s="19" t="str">
        <f>IF(L64&lt;40,"4",IF(L64&lt;50,"3",IF(L64&lt;55,IF(Tableau3[[#This Row],[Fonction]]="Conducteur de ligne","2","3"),"1")))</f>
        <v>3</v>
      </c>
      <c r="T64" s="6">
        <f t="shared" si="31"/>
        <v>47284</v>
      </c>
      <c r="U64" s="42">
        <v>46188</v>
      </c>
      <c r="V64" s="41" t="s">
        <v>48</v>
      </c>
      <c r="W64" s="75">
        <f t="shared" ref="W64:W69" si="36">YEARFRAC(I64,U64,1)</f>
        <v>44.342905816500362</v>
      </c>
      <c r="X64" s="6" t="str">
        <f>IF(L64&lt;40,"4",IF(L64&lt;55,"3",IF(Tableau3[[#This Row],[Fonction]]="conducteur de ligne","1","2")))</f>
        <v>3</v>
      </c>
      <c r="Y64" s="6">
        <f t="shared" si="33"/>
        <v>47284</v>
      </c>
      <c r="Z64" s="42">
        <v>46147</v>
      </c>
      <c r="AA64" s="3" t="str">
        <f ca="1">IF(Tableau3[[#This Row],[Date prochaine évaluation]]&gt; TODAY(),"Réussi","Examen expiré")</f>
        <v>Réussi</v>
      </c>
      <c r="AB64" s="6">
        <f t="shared" ref="AB64:AB73" si="37">EDATE(Z64, 12)</f>
        <v>46512</v>
      </c>
      <c r="AC64" s="46" t="e">
        <f t="shared" ca="1" si="22"/>
        <v>#VALUE!</v>
      </c>
      <c r="AD64" s="143"/>
    </row>
    <row r="65" spans="2:30" ht="64" hidden="1" x14ac:dyDescent="0.35">
      <c r="B65" s="41" t="s">
        <v>221</v>
      </c>
      <c r="C65" s="51" t="s">
        <v>222</v>
      </c>
      <c r="D65" s="41" t="s">
        <v>56</v>
      </c>
      <c r="E65" s="39"/>
      <c r="F65" s="65" t="str">
        <f ca="1">IF(Tableau3[[#This Row],[Date d''expiration ]]&gt;TODAY()+31,"✅",IF(Tableau3[[#This Row],[Date d''expiration ]]&gt; TODAY()+1, "⚠️","⛔️"))</f>
        <v>✅</v>
      </c>
      <c r="G65" s="6">
        <f t="shared" si="34"/>
        <v>46553</v>
      </c>
      <c r="H65" s="40" t="str">
        <f ca="1">IF( Tableau3[[#This Row],[Date d''expiration ]]&gt;TODAY(),"Néant","Cas à justifier")</f>
        <v>Néant</v>
      </c>
      <c r="I65" s="36">
        <v>33298</v>
      </c>
      <c r="J65" s="75">
        <f t="shared" ca="1" si="32"/>
        <v>35.518138261464749</v>
      </c>
      <c r="K65" s="75">
        <f>YEARFRAC(I65,RG_DRH_S1_008!$E$4,1)</f>
        <v>34.835732165206508</v>
      </c>
      <c r="L65" s="75">
        <f>YEARFRAC(I65,RG_DRH_S1_008!$E$5,1)</f>
        <v>35.835728952772072</v>
      </c>
      <c r="M65" s="3" t="s">
        <v>44</v>
      </c>
      <c r="N65" s="3" t="s">
        <v>223</v>
      </c>
      <c r="O65" s="33" t="s">
        <v>224</v>
      </c>
      <c r="P65" s="42">
        <v>45896</v>
      </c>
      <c r="Q65" s="41" t="s">
        <v>47</v>
      </c>
      <c r="R65" s="76">
        <f t="shared" si="35"/>
        <v>34.490769712140171</v>
      </c>
      <c r="S65" s="19" t="str">
        <f>IF(L65&lt;40,"4",IF(L65&lt;50,"3",IF(L65&lt;55,IF(Tableau3[[#This Row],[Fonction]]="Conducteur de ligne","2","3"),"1")))</f>
        <v>4</v>
      </c>
      <c r="T65" s="6">
        <f t="shared" si="31"/>
        <v>47357</v>
      </c>
      <c r="U65" s="42">
        <v>45149</v>
      </c>
      <c r="V65" s="41" t="s">
        <v>48</v>
      </c>
      <c r="W65" s="75">
        <f t="shared" si="36"/>
        <v>32.446942669874723</v>
      </c>
      <c r="X65" s="6" t="str">
        <f>IF(L65&lt;40,"4",IF(L65&lt;55,"3",IF(Tableau3[[#This Row],[Fonction]]="conducteur de ligne","1","2")))</f>
        <v>4</v>
      </c>
      <c r="Y65" s="6">
        <f t="shared" si="33"/>
        <v>46610</v>
      </c>
      <c r="Z65" s="42">
        <v>46188</v>
      </c>
      <c r="AA65" s="3" t="str">
        <f ca="1">IF(Tableau3[[#This Row],[Date prochaine évaluation]]&gt; TODAY(),"Réussi","Examen expiré")</f>
        <v>Réussi</v>
      </c>
      <c r="AB65" s="6">
        <f t="shared" si="37"/>
        <v>46553</v>
      </c>
      <c r="AC65" s="46" t="e">
        <f t="shared" ref="AC65:AC73" ca="1" si="38">EDATE(AA65, 12)</f>
        <v>#VALUE!</v>
      </c>
      <c r="AD65" s="143"/>
    </row>
    <row r="66" spans="2:30" ht="48" hidden="1" x14ac:dyDescent="0.35">
      <c r="B66" s="41" t="s">
        <v>225</v>
      </c>
      <c r="C66" s="52" t="s">
        <v>226</v>
      </c>
      <c r="D66" s="41" t="s">
        <v>56</v>
      </c>
      <c r="E66" s="39"/>
      <c r="F66" s="65" t="str">
        <f ca="1">IF(Tableau3[[#This Row],[Date d''expiration ]]&gt;TODAY()+31,"✅",IF(Tableau3[[#This Row],[Date d''expiration ]]&gt; TODAY()+1, "⚠️","⛔️"))</f>
        <v>⛔️</v>
      </c>
      <c r="G66" s="6">
        <f t="shared" si="34"/>
        <v>46069</v>
      </c>
      <c r="H66" s="40" t="str">
        <f ca="1">IF( Tableau3[[#This Row],[Date d''expiration ]]&gt;TODAY(),"Néant","Cas à justifier")</f>
        <v>Cas à justifier</v>
      </c>
      <c r="I66" s="37">
        <v>31675</v>
      </c>
      <c r="J66" s="75">
        <f t="shared" ca="1" si="32"/>
        <v>39.962337228714524</v>
      </c>
      <c r="K66" s="75">
        <f>YEARFRAC(I66,RG_DRH_S1_008!$E$4,1)</f>
        <v>39.279945242984255</v>
      </c>
      <c r="L66" s="75">
        <f>YEARFRAC(I66,RG_DRH_S1_008!$E$5,1)</f>
        <v>40.279933222036725</v>
      </c>
      <c r="M66" s="3" t="s">
        <v>44</v>
      </c>
      <c r="N66" s="3" t="s">
        <v>131</v>
      </c>
      <c r="O66" s="33" t="s">
        <v>58</v>
      </c>
      <c r="P66" s="42">
        <v>45719</v>
      </c>
      <c r="Q66" s="41" t="s">
        <v>47</v>
      </c>
      <c r="R66" s="76">
        <f t="shared" si="35"/>
        <v>38.450376454483234</v>
      </c>
      <c r="S66" s="19" t="str">
        <f>IF(L66&lt;40,"4",IF(L66&lt;50,"3",IF(L66&lt;55,IF(Tableau3[[#This Row],[Fonction]]="Conducteur de ligne","2","3"),"1")))</f>
        <v>3</v>
      </c>
      <c r="T66" s="6">
        <f t="shared" ref="T66:T73" si="39">EDATE(P66, (12*S66))</f>
        <v>46815</v>
      </c>
      <c r="U66" s="42">
        <v>44973</v>
      </c>
      <c r="V66" s="41" t="s">
        <v>48</v>
      </c>
      <c r="W66" s="75">
        <f t="shared" si="36"/>
        <v>36.409251386987535</v>
      </c>
      <c r="X66" s="6" t="str">
        <f>IF(L66&lt;40,"4",IF(L66&lt;55,"3",IF(Tableau3[[#This Row],[Fonction]]="conducteur de ligne","1","2")))</f>
        <v>3</v>
      </c>
      <c r="Y66" s="6">
        <f t="shared" si="33"/>
        <v>46069</v>
      </c>
      <c r="Z66" s="42">
        <v>45915</v>
      </c>
      <c r="AA66" s="3" t="str">
        <f ca="1">IF(Tableau3[[#This Row],[Date prochaine évaluation]]&gt; TODAY(),"Réussi","Examen expiré")</f>
        <v>Réussi</v>
      </c>
      <c r="AB66" s="6">
        <f t="shared" si="37"/>
        <v>46280</v>
      </c>
      <c r="AC66" s="46" t="e">
        <f t="shared" ca="1" si="38"/>
        <v>#VALUE!</v>
      </c>
      <c r="AD66" s="143"/>
    </row>
    <row r="67" spans="2:30" ht="64" hidden="1" x14ac:dyDescent="0.35">
      <c r="B67" s="41" t="s">
        <v>227</v>
      </c>
      <c r="C67" s="53" t="s">
        <v>228</v>
      </c>
      <c r="D67" s="41" t="s">
        <v>56</v>
      </c>
      <c r="E67" s="39"/>
      <c r="F67" s="65" t="str">
        <f ca="1">IF(Tableau3[[#This Row],[Date d''expiration ]]&gt;TODAY()+31,"✅",IF(Tableau3[[#This Row],[Date d''expiration ]]&gt; TODAY()+1, "⚠️","⛔️"))</f>
        <v>✅</v>
      </c>
      <c r="G67" s="6">
        <f t="shared" si="34"/>
        <v>46430</v>
      </c>
      <c r="H67" s="40" t="str">
        <f ca="1">IF( Tableau3[[#This Row],[Date d''expiration ]]&gt;TODAY(),"Néant","Cas à justifier")</f>
        <v>Néant</v>
      </c>
      <c r="I67" s="35">
        <v>30636</v>
      </c>
      <c r="J67" s="75">
        <f t="shared" ca="1" si="32"/>
        <v>42.806297056810401</v>
      </c>
      <c r="K67" s="75">
        <f>YEARFRAC(I67,RG_DRH_S1_008!$E$4,1)</f>
        <v>42.123901693620276</v>
      </c>
      <c r="L67" s="75">
        <f>YEARFRAC(I67,RG_DRH_S1_008!$E$5,1)</f>
        <v>43.123887748117724</v>
      </c>
      <c r="M67" s="3" t="s">
        <v>44</v>
      </c>
      <c r="N67" s="3" t="s">
        <v>128</v>
      </c>
      <c r="O67" s="33" t="s">
        <v>224</v>
      </c>
      <c r="P67" s="42">
        <v>45334</v>
      </c>
      <c r="Q67" s="41" t="s">
        <v>47</v>
      </c>
      <c r="R67" s="76">
        <f t="shared" si="35"/>
        <v>40.239619320774395</v>
      </c>
      <c r="S67" s="19" t="str">
        <f>IF(L67&lt;40,"4",IF(L67&lt;50,"3",IF(L67&lt;55,IF(Tableau3[[#This Row],[Fonction]]="Conducteur de ligne","2","3"),"1")))</f>
        <v>3</v>
      </c>
      <c r="T67" s="6">
        <f t="shared" si="39"/>
        <v>46430</v>
      </c>
      <c r="U67" s="42">
        <v>45369</v>
      </c>
      <c r="V67" s="41" t="s">
        <v>48</v>
      </c>
      <c r="W67" s="75">
        <f t="shared" si="36"/>
        <v>40.335440975164595</v>
      </c>
      <c r="X67" s="6" t="str">
        <f>IF(L67&lt;40,"4",IF(L67&lt;55,"3",IF(Tableau3[[#This Row],[Fonction]]="conducteur de ligne","1","2")))</f>
        <v>3</v>
      </c>
      <c r="Y67" s="6">
        <f t="shared" si="33"/>
        <v>46464</v>
      </c>
      <c r="Z67" s="42">
        <v>46176</v>
      </c>
      <c r="AA67" s="3" t="str">
        <f ca="1">IF(Tableau3[[#This Row],[Date prochaine évaluation]]&gt; TODAY(),"Réussi","Examen expiré")</f>
        <v>Réussi</v>
      </c>
      <c r="AB67" s="6">
        <f t="shared" si="37"/>
        <v>46541</v>
      </c>
      <c r="AC67" s="46" t="e">
        <f t="shared" ca="1" si="38"/>
        <v>#VALUE!</v>
      </c>
      <c r="AD67" s="143"/>
    </row>
    <row r="68" spans="2:30" ht="34.5" hidden="1" x14ac:dyDescent="0.35">
      <c r="B68" s="41" t="s">
        <v>230</v>
      </c>
      <c r="C68" s="51" t="s">
        <v>231</v>
      </c>
      <c r="D68" s="41" t="s">
        <v>56</v>
      </c>
      <c r="E68" s="39"/>
      <c r="F68" s="65" t="str">
        <f ca="1">IF(Tableau3[[#This Row],[Date d''expiration ]]&gt;TODAY()+31,"✅",IF(Tableau3[[#This Row],[Date d''expiration ]]&gt; TODAY()+1, "⚠️","⛔️"))</f>
        <v>✅</v>
      </c>
      <c r="G68" s="6">
        <f t="shared" si="34"/>
        <v>46428</v>
      </c>
      <c r="H68" s="40" t="str">
        <f ca="1">IF( Tableau3[[#This Row],[Date d''expiration ]]&gt;TODAY(),"Néant","Cas à justifier")</f>
        <v>Néant</v>
      </c>
      <c r="I68" s="36">
        <v>31138</v>
      </c>
      <c r="J68" s="75">
        <f t="shared" ca="1" si="32"/>
        <v>41.433246414602344</v>
      </c>
      <c r="K68" s="75">
        <f>YEARFRAC(I68,RG_DRH_S1_008!$E$4,1)</f>
        <v>40.750851419031719</v>
      </c>
      <c r="L68" s="75">
        <f>YEARFRAC(I68,RG_DRH_S1_008!$E$5,1)</f>
        <v>41.750847457627117</v>
      </c>
      <c r="M68" s="3" t="s">
        <v>44</v>
      </c>
      <c r="N68" s="3" t="s">
        <v>80</v>
      </c>
      <c r="O68" s="33" t="s">
        <v>81</v>
      </c>
      <c r="P68" s="42">
        <v>45433</v>
      </c>
      <c r="Q68" s="41" t="s">
        <v>47</v>
      </c>
      <c r="R68" s="76">
        <f t="shared" si="35"/>
        <v>39.137577002053391</v>
      </c>
      <c r="S68" s="19" t="str">
        <f>IF(L68&lt;40,"4",IF(L68&lt;50,"3",IF(L68&lt;55,IF(Tableau3[[#This Row],[Fonction]]="Conducteur de ligne","2","3"),"1")))</f>
        <v>3</v>
      </c>
      <c r="T68" s="6">
        <f t="shared" si="39"/>
        <v>46528</v>
      </c>
      <c r="U68" s="42">
        <v>45595</v>
      </c>
      <c r="V68" s="41" t="s">
        <v>48</v>
      </c>
      <c r="W68" s="75">
        <f t="shared" si="36"/>
        <v>39.581108829568791</v>
      </c>
      <c r="X68" s="6" t="str">
        <f>IF(L68&lt;40,"4",IF(L68&lt;55,"3",IF(Tableau3[[#This Row],[Fonction]]="conducteur de ligne","1","2")))</f>
        <v>3</v>
      </c>
      <c r="Y68" s="6">
        <f t="shared" si="33"/>
        <v>46690</v>
      </c>
      <c r="Z68" s="42">
        <v>46063</v>
      </c>
      <c r="AA68" s="3" t="str">
        <f ca="1">IF(Tableau3[[#This Row],[Date prochaine évaluation]]&gt; TODAY(),"Réussi","Examen expiré")</f>
        <v>Réussi</v>
      </c>
      <c r="AB68" s="6">
        <f t="shared" si="37"/>
        <v>46428</v>
      </c>
      <c r="AC68" s="46" t="e">
        <f t="shared" ca="1" si="38"/>
        <v>#VALUE!</v>
      </c>
      <c r="AD68" s="143"/>
    </row>
    <row r="69" spans="2:30" ht="48" hidden="1" x14ac:dyDescent="0.35">
      <c r="B69" s="41" t="s">
        <v>234</v>
      </c>
      <c r="C69" s="50" t="s">
        <v>235</v>
      </c>
      <c r="D69" s="41" t="s">
        <v>56</v>
      </c>
      <c r="E69" s="39"/>
      <c r="F69" s="65" t="str">
        <f ca="1">IF(Tableau3[[#This Row],[Date d''expiration ]]&gt;TODAY()+31,"✅",IF(Tableau3[[#This Row],[Date d''expiration ]]&gt; TODAY()+1, "⚠️","⛔️"))</f>
        <v>✅</v>
      </c>
      <c r="G69" s="6">
        <f t="shared" si="34"/>
        <v>46322</v>
      </c>
      <c r="H69" s="40" t="str">
        <f ca="1">IF( Tableau3[[#This Row],[Date d''expiration ]]&gt;TODAY(),"Néant","Cas à justifier")</f>
        <v>Néant</v>
      </c>
      <c r="I69" s="34">
        <v>25385</v>
      </c>
      <c r="J69" s="75">
        <f t="shared" ca="1" si="32"/>
        <v>57.184101208459218</v>
      </c>
      <c r="K69" s="75">
        <f>YEARFRAC(I69,RG_DRH_S1_008!$E$4,1)</f>
        <v>56.501705173159131</v>
      </c>
      <c r="L69" s="75">
        <f>YEARFRAC(I69,RG_DRH_S1_008!$E$5,1)</f>
        <v>57.501699395770395</v>
      </c>
      <c r="M69" s="3" t="s">
        <v>44</v>
      </c>
      <c r="N69" s="3" t="s">
        <v>236</v>
      </c>
      <c r="O69" s="33" t="s">
        <v>58</v>
      </c>
      <c r="P69" s="42">
        <v>46106</v>
      </c>
      <c r="Q69" s="41" t="s">
        <v>47</v>
      </c>
      <c r="R69" s="76">
        <f t="shared" si="35"/>
        <v>56.732345166163142</v>
      </c>
      <c r="S69" s="19" t="str">
        <f>IF(L69&lt;40,"4",IF(L69&lt;50,"3",IF(L69&lt;55,IF(Tableau3[[#This Row],[Fonction]]="Conducteur de ligne","2","3"),"1")))</f>
        <v>1</v>
      </c>
      <c r="T69" s="6">
        <f t="shared" si="39"/>
        <v>46471</v>
      </c>
      <c r="U69" s="42">
        <v>46092</v>
      </c>
      <c r="V69" s="41" t="s">
        <v>48</v>
      </c>
      <c r="W69" s="75">
        <f t="shared" si="36"/>
        <v>56.694014350453173</v>
      </c>
      <c r="X69" s="6" t="str">
        <f>IF(L69&lt;40,"4",IF(L69&lt;55,"3",IF(Tableau3[[#This Row],[Fonction]]="conducteur de ligne","1","2")))</f>
        <v>1</v>
      </c>
      <c r="Y69" s="6">
        <f t="shared" si="33"/>
        <v>46457</v>
      </c>
      <c r="Z69" s="42">
        <v>45957</v>
      </c>
      <c r="AA69" s="3" t="str">
        <f ca="1">IF(Tableau3[[#This Row],[Date prochaine évaluation]]&gt; TODAY(),"Réussi","Examen expiré")</f>
        <v>Réussi</v>
      </c>
      <c r="AB69" s="6">
        <f t="shared" si="37"/>
        <v>46322</v>
      </c>
      <c r="AC69" s="46" t="e">
        <f t="shared" ca="1" si="38"/>
        <v>#VALUE!</v>
      </c>
      <c r="AD69" s="143"/>
    </row>
    <row r="70" spans="2:30" ht="34.5" x14ac:dyDescent="0.35">
      <c r="B70" s="41" t="s">
        <v>245</v>
      </c>
      <c r="C70" s="41" t="s">
        <v>246</v>
      </c>
      <c r="D70" s="41" t="s">
        <v>247</v>
      </c>
      <c r="E70" s="40">
        <v>45051</v>
      </c>
      <c r="F70" s="65" t="str">
        <f ca="1">IF(Tableau3[[#This Row],[Date d''expiration ]]&gt;TODAY()+31,"✅",IF(Tableau3[[#This Row],[Date d''expiration ]]&gt; TODAY()+1, "⚠️","⛔️"))</f>
        <v>⚠️</v>
      </c>
      <c r="G70" s="6">
        <f t="shared" ref="G70:G73" si="40">MIN(T70,Y70,AB70)</f>
        <v>46277</v>
      </c>
      <c r="H70" s="40" t="str">
        <f ca="1">IF( Tableau3[[#This Row],[Date d''expiration ]]&gt;TODAY(),"Néant","Cas à justifier")</f>
        <v>Néant</v>
      </c>
      <c r="I70" s="6">
        <v>36083</v>
      </c>
      <c r="J70" s="75">
        <f t="shared" ca="1" si="32"/>
        <v>27.893882175226587</v>
      </c>
      <c r="K70" s="75">
        <f>YEARFRAC(I70,RG_DRH_S1_008!$E$4,1)</f>
        <v>27.211498973305954</v>
      </c>
      <c r="L70" s="75">
        <f>YEARFRAC(I70,RG_DRH_S1_008!$E$5,1)</f>
        <v>28.211480362537763</v>
      </c>
      <c r="M70" s="3" t="s">
        <v>237</v>
      </c>
      <c r="N70" s="3" t="s">
        <v>243</v>
      </c>
      <c r="O70" s="3" t="s">
        <v>46</v>
      </c>
      <c r="P70" s="42">
        <v>45082</v>
      </c>
      <c r="Q70" s="41" t="s">
        <v>47</v>
      </c>
      <c r="R70" s="76">
        <f t="shared" ref="R70:R73" si="41">YEARFRAC(I70,P70,1)</f>
        <v>24.639216512215668</v>
      </c>
      <c r="S70" s="19" t="str">
        <f>IF(L70&lt;40,"4",IF(L70&lt;50,"3",IF(L70&lt;55,IF(Tableau3[[#This Row],[Fonction]]="Conducteur de ligne","2","3"),"1")))</f>
        <v>4</v>
      </c>
      <c r="T70" s="6">
        <f t="shared" si="39"/>
        <v>46543</v>
      </c>
      <c r="U70" s="42">
        <v>44816</v>
      </c>
      <c r="V70" s="41" t="s">
        <v>48</v>
      </c>
      <c r="W70" s="75">
        <f t="shared" ref="W70:W73" si="42">YEARFRAC(I70,U70,1)</f>
        <v>23.910305552513414</v>
      </c>
      <c r="X70" s="6" t="str">
        <f>IF(L70&lt;40,"4",IF(L70&lt;55,"3",IF(Tableau3[[#This Row],[Fonction]]="conducteur de ligne","1","2")))</f>
        <v>4</v>
      </c>
      <c r="Y70" s="6">
        <f t="shared" si="33"/>
        <v>46277</v>
      </c>
      <c r="Z70" s="42">
        <v>46131</v>
      </c>
      <c r="AA70" s="3" t="str">
        <f ca="1">IF(Tableau3[[#This Row],[Date prochaine évaluation]]&gt; TODAY(),"Réussi","Examen expiré")</f>
        <v>Réussi</v>
      </c>
      <c r="AB70" s="6">
        <f t="shared" si="37"/>
        <v>46496</v>
      </c>
      <c r="AC70" s="46" t="e">
        <f t="shared" ca="1" si="38"/>
        <v>#VALUE!</v>
      </c>
      <c r="AD70" s="143"/>
    </row>
    <row r="71" spans="2:30" ht="34.5" x14ac:dyDescent="0.35">
      <c r="B71" s="41" t="s">
        <v>253</v>
      </c>
      <c r="C71" s="41" t="s">
        <v>254</v>
      </c>
      <c r="D71" s="41" t="s">
        <v>247</v>
      </c>
      <c r="E71" s="40">
        <v>44945</v>
      </c>
      <c r="F71" s="65" t="str">
        <f ca="1">IF(Tableau3[[#This Row],[Date d''expiration ]]&gt;TODAY()+31,"✅",IF(Tableau3[[#This Row],[Date d''expiration ]]&gt; TODAY()+1, "⚠️","⛔️"))</f>
        <v>✅</v>
      </c>
      <c r="G71" s="6">
        <f t="shared" si="40"/>
        <v>46342</v>
      </c>
      <c r="H71" s="40" t="str">
        <f ca="1">IF( Tableau3[[#This Row],[Date d''expiration ]]&gt;TODAY(),"Néant","Cas à justifier")</f>
        <v>Néant</v>
      </c>
      <c r="I71" s="6">
        <v>35416</v>
      </c>
      <c r="J71" s="75">
        <f t="shared" ca="1" si="32"/>
        <v>29.718714121699197</v>
      </c>
      <c r="K71" s="75">
        <f>YEARFRAC(I71,RG_DRH_S1_008!$E$4,1)</f>
        <v>29.036320496440958</v>
      </c>
      <c r="L71" s="75">
        <f>YEARFRAC(I71,RG_DRH_S1_008!$E$5,1)</f>
        <v>30.036297800936147</v>
      </c>
      <c r="M71" s="3" t="s">
        <v>237</v>
      </c>
      <c r="N71" s="3" t="s">
        <v>50</v>
      </c>
      <c r="O71" s="3" t="s">
        <v>51</v>
      </c>
      <c r="P71" s="42">
        <v>45176</v>
      </c>
      <c r="Q71" s="41" t="s">
        <v>47</v>
      </c>
      <c r="R71" s="76">
        <f t="shared" si="41"/>
        <v>26.721423682409309</v>
      </c>
      <c r="S71" s="19" t="str">
        <f>IF(L71&lt;40,"4",IF(L71&lt;50,"3",IF(L71&lt;55,IF(Tableau3[[#This Row],[Fonction]]="Conducteur de ligne","2","3"),"1")))</f>
        <v>4</v>
      </c>
      <c r="T71" s="6">
        <f t="shared" si="39"/>
        <v>46637</v>
      </c>
      <c r="U71" s="42">
        <v>46174</v>
      </c>
      <c r="V71" s="41" t="s">
        <v>48</v>
      </c>
      <c r="W71" s="75">
        <f t="shared" si="42"/>
        <v>29.453148458888986</v>
      </c>
      <c r="X71" s="6" t="str">
        <f>IF(L71&lt;40,"4",IF(L71&lt;55,"3",IF(Tableau3[[#This Row],[Fonction]]="conducteur de ligne","1","2")))</f>
        <v>4</v>
      </c>
      <c r="Y71" s="6">
        <f t="shared" si="33"/>
        <v>47635</v>
      </c>
      <c r="Z71" s="42">
        <v>45977</v>
      </c>
      <c r="AA71" s="3" t="str">
        <f ca="1">IF(Tableau3[[#This Row],[Date prochaine évaluation]]&gt; TODAY(),"Réussi","Examen expiré")</f>
        <v>Réussi</v>
      </c>
      <c r="AB71" s="6">
        <f t="shared" si="37"/>
        <v>46342</v>
      </c>
      <c r="AC71" s="46" t="e">
        <f t="shared" ca="1" si="38"/>
        <v>#VALUE!</v>
      </c>
      <c r="AD71" s="143"/>
    </row>
    <row r="72" spans="2:30" ht="34.5" x14ac:dyDescent="0.35">
      <c r="B72" s="41" t="s">
        <v>255</v>
      </c>
      <c r="C72" s="41" t="s">
        <v>256</v>
      </c>
      <c r="D72" s="41" t="s">
        <v>257</v>
      </c>
      <c r="E72" s="40">
        <v>44945</v>
      </c>
      <c r="F72" s="65" t="str">
        <f ca="1">IF(Tableau3[[#This Row],[Date d''expiration ]]&gt;TODAY()+31,"✅",IF(Tableau3[[#This Row],[Date d''expiration ]]&gt; TODAY()+1, "⚠️","⛔️"))</f>
        <v>✅</v>
      </c>
      <c r="G72" s="6">
        <f t="shared" si="40"/>
        <v>46382</v>
      </c>
      <c r="H72" s="40" t="str">
        <f ca="1">IF( Tableau3[[#This Row],[Date d''expiration ]]&gt;TODAY(),"Néant","Cas à justifier")</f>
        <v>Néant</v>
      </c>
      <c r="I72" s="6">
        <v>36342</v>
      </c>
      <c r="J72" s="75">
        <f t="shared" ca="1" si="32"/>
        <v>27.184120465434635</v>
      </c>
      <c r="K72" s="75">
        <f>YEARFRAC(I72,RG_DRH_S1_008!$E$4,1)</f>
        <v>26.501723788278241</v>
      </c>
      <c r="L72" s="75">
        <f>YEARFRAC(I72,RG_DRH_S1_008!$E$5,1)</f>
        <v>27.501711156741958</v>
      </c>
      <c r="M72" s="3" t="s">
        <v>237</v>
      </c>
      <c r="N72" s="3" t="s">
        <v>50</v>
      </c>
      <c r="O72" s="3" t="s">
        <v>51</v>
      </c>
      <c r="P72" s="42">
        <v>45182</v>
      </c>
      <c r="Q72" s="41" t="s">
        <v>47</v>
      </c>
      <c r="R72" s="76">
        <f t="shared" si="41"/>
        <v>24.203263607490964</v>
      </c>
      <c r="S72" s="19" t="str">
        <f>IF(L72&lt;40,"4",IF(L72&lt;50,"3",IF(L72&lt;55,IF(Tableau3[[#This Row],[Fonction]]="Conducteur de ligne","2","3"),"1")))</f>
        <v>4</v>
      </c>
      <c r="T72" s="6">
        <f t="shared" si="39"/>
        <v>46643</v>
      </c>
      <c r="U72" s="42">
        <v>46167</v>
      </c>
      <c r="V72" s="41" t="s">
        <v>48</v>
      </c>
      <c r="W72" s="75">
        <f t="shared" si="42"/>
        <v>26.899383983572896</v>
      </c>
      <c r="X72" s="6" t="str">
        <f>IF(L72&lt;40,"4",IF(L72&lt;55,"3",IF(Tableau3[[#This Row],[Fonction]]="conducteur de ligne","1","2")))</f>
        <v>4</v>
      </c>
      <c r="Y72" s="6">
        <f t="shared" si="33"/>
        <v>47628</v>
      </c>
      <c r="Z72" s="42">
        <v>46017</v>
      </c>
      <c r="AA72" s="3" t="str">
        <f ca="1">IF(Tableau3[[#This Row],[Date prochaine évaluation]]&gt; TODAY(),"Réussi","Examen expiré")</f>
        <v>Réussi</v>
      </c>
      <c r="AB72" s="6">
        <f t="shared" si="37"/>
        <v>46382</v>
      </c>
      <c r="AC72" s="46" t="e">
        <f t="shared" ca="1" si="38"/>
        <v>#VALUE!</v>
      </c>
      <c r="AD72" s="143"/>
    </row>
    <row r="73" spans="2:30" ht="34.5" x14ac:dyDescent="0.35">
      <c r="B73" s="41" t="s">
        <v>258</v>
      </c>
      <c r="C73" s="41" t="s">
        <v>259</v>
      </c>
      <c r="D73" s="41" t="s">
        <v>257</v>
      </c>
      <c r="E73" s="40">
        <v>44945</v>
      </c>
      <c r="F73" s="65" t="str">
        <f ca="1">IF(Tableau3[[#This Row],[Date d''expiration ]]&gt;TODAY()+31,"✅",IF(Tableau3[[#This Row],[Date d''expiration ]]&gt; TODAY()+1, "⚠️","⛔️"))</f>
        <v>✅</v>
      </c>
      <c r="G73" s="6">
        <f t="shared" si="40"/>
        <v>46396</v>
      </c>
      <c r="H73" s="40" t="str">
        <f ca="1">IF( Tableau3[[#This Row],[Date d''expiration ]]&gt;TODAY(),"Néant","Cas à justifier")</f>
        <v>Néant</v>
      </c>
      <c r="I73" s="6">
        <v>36207</v>
      </c>
      <c r="J73" s="75">
        <f t="shared" ca="1" si="32"/>
        <v>27.553730321697468</v>
      </c>
      <c r="K73" s="75">
        <f>YEARFRAC(I73,RG_DRH_S1_008!$E$4,1)</f>
        <v>26.871324274994933</v>
      </c>
      <c r="L73" s="75">
        <f>YEARFRAC(I73,RG_DRH_S1_008!$E$5,1)</f>
        <v>27.871321013004792</v>
      </c>
      <c r="M73" s="3" t="s">
        <v>237</v>
      </c>
      <c r="N73" s="3" t="s">
        <v>50</v>
      </c>
      <c r="O73" s="3" t="s">
        <v>51</v>
      </c>
      <c r="P73" s="42">
        <v>45175</v>
      </c>
      <c r="Q73" s="41" t="s">
        <v>47</v>
      </c>
      <c r="R73" s="76">
        <f t="shared" si="41"/>
        <v>24.553718103165043</v>
      </c>
      <c r="S73" s="19" t="str">
        <f>IF(L73&lt;40,"4",IF(L73&lt;50,"3",IF(L73&lt;55,IF(Tableau3[[#This Row],[Fonction]]="Conducteur de ligne","2","3"),"1")))</f>
        <v>4</v>
      </c>
      <c r="T73" s="6">
        <f t="shared" si="39"/>
        <v>46636</v>
      </c>
      <c r="U73" s="42">
        <v>46174</v>
      </c>
      <c r="V73" s="41" t="s">
        <v>48</v>
      </c>
      <c r="W73" s="75">
        <f t="shared" si="42"/>
        <v>27.288158795345655</v>
      </c>
      <c r="X73" s="6" t="str">
        <f>IF(L73&lt;40,"4",IF(L73&lt;55,"3",IF(Tableau3[[#This Row],[Fonction]]="conducteur de ligne","1","2")))</f>
        <v>4</v>
      </c>
      <c r="Y73" s="6">
        <f t="shared" si="33"/>
        <v>47635</v>
      </c>
      <c r="Z73" s="42">
        <v>46031</v>
      </c>
      <c r="AA73" s="3" t="str">
        <f ca="1">IF(Tableau3[[#This Row],[Date prochaine évaluation]]&gt; TODAY(),"Réussi","Examen expiré")</f>
        <v>Réussi</v>
      </c>
      <c r="AB73" s="6">
        <f t="shared" si="37"/>
        <v>46396</v>
      </c>
      <c r="AC73" s="46" t="e">
        <f t="shared" ca="1" si="38"/>
        <v>#VALUE!</v>
      </c>
      <c r="AD73" s="143"/>
    </row>
    <row r="74" spans="2:30" ht="48" x14ac:dyDescent="0.35">
      <c r="B74" s="41" t="s">
        <v>266</v>
      </c>
      <c r="C74" s="51" t="s">
        <v>267</v>
      </c>
      <c r="D74" s="41" t="s">
        <v>56</v>
      </c>
      <c r="E74" s="39"/>
      <c r="F74" s="65" t="str">
        <f ca="1">IF(Tableau3[[#This Row],[Date d''expiration ]]&gt;TODAY()+31,"✅",IF(Tableau3[[#This Row],[Date d''expiration ]]&gt; TODAY()+1, "⚠️","⛔️"))</f>
        <v>⛔️</v>
      </c>
      <c r="G74" s="6">
        <f t="shared" ref="G74:G127" si="43">MIN(T74,Y74,AB74)</f>
        <v>46153</v>
      </c>
      <c r="H74" s="40" t="str">
        <f ca="1">IF( Tableau3[[#This Row],[Date d''expiration ]]&gt;TODAY(),"Néant","Cas à justifier")</f>
        <v>Cas à justifier</v>
      </c>
      <c r="I74" s="32">
        <v>36708</v>
      </c>
      <c r="J74" s="75">
        <f t="shared" ref="J74:J113" ca="1" si="44">YEARFRAC(I74,TODAY(),1)</f>
        <v>26.181403366457111</v>
      </c>
      <c r="K74" s="75">
        <f>YEARFRAC(I74,RG_DRH_S1_008!$E$4,1)</f>
        <v>25.498999684110771</v>
      </c>
      <c r="L74" s="75">
        <f>YEARFRAC(I74,RG_DRH_S1_008!$E$5,1)</f>
        <v>26.498986006895155</v>
      </c>
      <c r="M74" s="3" t="s">
        <v>237</v>
      </c>
      <c r="N74" s="3" t="s">
        <v>173</v>
      </c>
      <c r="O74" s="3" t="s">
        <v>268</v>
      </c>
      <c r="P74" s="42">
        <v>44692</v>
      </c>
      <c r="Q74" s="41" t="s">
        <v>47</v>
      </c>
      <c r="R74" s="76">
        <f t="shared" ref="R74:R127" si="45">YEARFRAC(I74,P74,1)</f>
        <v>21.858350196405191</v>
      </c>
      <c r="S74" s="19" t="str">
        <f>IF(L74&lt;40,"4",IF(L74&lt;50,"3",IF(L74&lt;55,IF(Tableau3[[#This Row],[Fonction]]="Conducteur de ligne","2","3"),"1")))</f>
        <v>4</v>
      </c>
      <c r="T74" s="6">
        <f t="shared" ref="T74:T119" si="46">EDATE(P74, (12*S74))</f>
        <v>46153</v>
      </c>
      <c r="U74" s="42">
        <v>45866</v>
      </c>
      <c r="V74" s="41" t="s">
        <v>48</v>
      </c>
      <c r="W74" s="75">
        <f t="shared" ref="W74:W127" si="47">YEARFRAC(I74,U74,1)</f>
        <v>25.071917447615036</v>
      </c>
      <c r="X74" s="6" t="str">
        <f>IF(L74&lt;40,"4",IF(L74&lt;55,"3",IF(Tableau3[[#This Row],[Fonction]]="conducteur de ligne","1","2")))</f>
        <v>4</v>
      </c>
      <c r="Y74" s="6">
        <f t="shared" ref="Y74:Y113" si="48">EDATE(U74, (12*X74))</f>
        <v>47327</v>
      </c>
      <c r="Z74" s="42">
        <v>46056</v>
      </c>
      <c r="AA74" s="3" t="str">
        <f ca="1">IF(Tableau3[[#This Row],[Date prochaine évaluation]]&gt; TODAY(),"Réussi","Examen expiré")</f>
        <v>Réussi</v>
      </c>
      <c r="AB74" s="6">
        <f t="shared" ref="AB74:AB116" si="49">EDATE(Z74, 12)</f>
        <v>46421</v>
      </c>
      <c r="AC74" s="46" t="e">
        <f t="shared" ref="AC74:AC127" ca="1" si="50">EDATE(AA74, 12)</f>
        <v>#VALUE!</v>
      </c>
      <c r="AD74" s="143"/>
    </row>
    <row r="75" spans="2:30" ht="64" x14ac:dyDescent="0.35">
      <c r="B75" s="41" t="s">
        <v>270</v>
      </c>
      <c r="C75" s="51" t="s">
        <v>1328</v>
      </c>
      <c r="D75" s="41" t="s">
        <v>56</v>
      </c>
      <c r="E75" s="39"/>
      <c r="F75" s="65" t="str">
        <f ca="1">IF(Tableau3[[#This Row],[Date d''expiration ]]&gt;TODAY()+31,"✅",IF(Tableau3[[#This Row],[Date d''expiration ]]&gt; TODAY()+1, "⚠️","⛔️"))</f>
        <v>✅</v>
      </c>
      <c r="G75" s="6">
        <f t="shared" si="43"/>
        <v>46388</v>
      </c>
      <c r="H75" s="40" t="str">
        <f ca="1">IF( Tableau3[[#This Row],[Date d''expiration ]]&gt;TODAY(),"Néant","Cas à justifier")</f>
        <v>Néant</v>
      </c>
      <c r="I75" s="32">
        <v>36778</v>
      </c>
      <c r="J75" s="75">
        <f t="shared" ca="1" si="44"/>
        <v>25.989758669641049</v>
      </c>
      <c r="K75" s="75">
        <f>YEARFRAC(I75,RG_DRH_S1_008!$E$4,1)</f>
        <v>25.30736021901653</v>
      </c>
      <c r="L75" s="75">
        <f>YEARFRAC(I75,RG_DRH_S1_008!$E$5,1)</f>
        <v>26.307341310079092</v>
      </c>
      <c r="M75" s="3" t="s">
        <v>237</v>
      </c>
      <c r="N75" s="3" t="s">
        <v>173</v>
      </c>
      <c r="O75" s="3" t="s">
        <v>73</v>
      </c>
      <c r="P75" s="42">
        <v>46188</v>
      </c>
      <c r="Q75" s="41" t="s">
        <v>47</v>
      </c>
      <c r="R75" s="76">
        <f t="shared" si="45"/>
        <v>25.762522814844861</v>
      </c>
      <c r="S75" s="19" t="str">
        <f>IF(L75&lt;40,"4",IF(L75&lt;50,"3",IF(L75&lt;55,IF(Tableau3[[#This Row],[Fonction]]="Conducteur de ligne","2","3"),"1")))</f>
        <v>4</v>
      </c>
      <c r="T75" s="6">
        <f t="shared" si="46"/>
        <v>47649</v>
      </c>
      <c r="U75" s="42">
        <v>45847</v>
      </c>
      <c r="V75" s="41" t="s">
        <v>48</v>
      </c>
      <c r="W75" s="75">
        <f t="shared" si="47"/>
        <v>24.828261556280932</v>
      </c>
      <c r="X75" s="6" t="str">
        <f>IF(L75&lt;40,"4",IF(L75&lt;55,"3",IF(Tableau3[[#This Row],[Fonction]]="conducteur de ligne","1","2")))</f>
        <v>4</v>
      </c>
      <c r="Y75" s="6">
        <f t="shared" si="48"/>
        <v>47308</v>
      </c>
      <c r="Z75" s="42">
        <v>46023</v>
      </c>
      <c r="AA75" s="3" t="str">
        <f ca="1">IF(Tableau3[[#This Row],[Date prochaine évaluation]]&gt; TODAY(),"Réussi","Examen expiré")</f>
        <v>Réussi</v>
      </c>
      <c r="AB75" s="6">
        <f t="shared" si="49"/>
        <v>46388</v>
      </c>
      <c r="AC75" s="46" t="e">
        <f t="shared" ca="1" si="50"/>
        <v>#VALUE!</v>
      </c>
      <c r="AD75" s="143"/>
    </row>
    <row r="76" spans="2:30" ht="34.5" x14ac:dyDescent="0.35">
      <c r="B76" s="52" t="s">
        <v>272</v>
      </c>
      <c r="C76" s="52" t="s">
        <v>273</v>
      </c>
      <c r="D76" s="52" t="s">
        <v>56</v>
      </c>
      <c r="E76" s="86"/>
      <c r="F76" s="65" t="str">
        <f ca="1">IF(Tableau3[[#This Row],[Date d''expiration ]]&gt;TODAY()+31,"✅",IF(Tableau3[[#This Row],[Date d''expiration ]]&gt; TODAY()+1, "⚠️","⛔️"))</f>
        <v>✅</v>
      </c>
      <c r="G76" s="21">
        <f t="shared" si="43"/>
        <v>46493</v>
      </c>
      <c r="H76" s="40" t="str">
        <f ca="1">IF( Tableau3[[#This Row],[Date d''expiration ]]&gt;TODAY(),"Néant","Cas à justifier")</f>
        <v>Néant</v>
      </c>
      <c r="I76" s="21">
        <v>29910</v>
      </c>
      <c r="J76" s="75">
        <f t="shared" ca="1" si="44"/>
        <v>44.795309802987916</v>
      </c>
      <c r="K76" s="75">
        <f>YEARFRAC(I76,RG_DRH_S1_008!$E$4,1)</f>
        <v>44.112922852275489</v>
      </c>
      <c r="L76" s="75">
        <f>YEARFRAC(I76,RG_DRH_S1_008!$E$5,1)</f>
        <v>45.112909945836556</v>
      </c>
      <c r="M76" s="3" t="s">
        <v>237</v>
      </c>
      <c r="N76" s="3" t="s">
        <v>80</v>
      </c>
      <c r="O76" s="3" t="s">
        <v>81</v>
      </c>
      <c r="P76" s="42">
        <v>45398</v>
      </c>
      <c r="Q76" s="41" t="s">
        <v>47</v>
      </c>
      <c r="R76" s="76">
        <f t="shared" si="45"/>
        <v>42.403832991101986</v>
      </c>
      <c r="S76" s="19" t="str">
        <f>IF(L76&lt;40,"4",IF(L76&lt;50,"3",IF(L76&lt;55,IF(Tableau3[[#This Row],[Fonction]]="Conducteur de ligne","2","3"),"1")))</f>
        <v>3</v>
      </c>
      <c r="T76" s="6">
        <f t="shared" si="46"/>
        <v>46493</v>
      </c>
      <c r="U76" s="42">
        <v>45993</v>
      </c>
      <c r="V76" s="41" t="s">
        <v>48</v>
      </c>
      <c r="W76" s="75">
        <f t="shared" si="47"/>
        <v>44.033523971769284</v>
      </c>
      <c r="X76" s="6" t="str">
        <f>IF(L76&lt;40,"4",IF(L76&lt;55,"3",IF(Tableau3[[#This Row],[Fonction]]="conducteur de ligne","1","2")))</f>
        <v>3</v>
      </c>
      <c r="Y76" s="6">
        <f t="shared" si="48"/>
        <v>47089</v>
      </c>
      <c r="Z76" s="42">
        <v>46156</v>
      </c>
      <c r="AA76" s="3" t="str">
        <f ca="1">IF(Tableau3[[#This Row],[Date prochaine évaluation]]&gt; TODAY(),"Réussi","Examen expiré")</f>
        <v>Réussi</v>
      </c>
      <c r="AB76" s="6">
        <f t="shared" si="49"/>
        <v>46521</v>
      </c>
      <c r="AC76" s="46" t="e">
        <f t="shared" ca="1" si="50"/>
        <v>#VALUE!</v>
      </c>
      <c r="AD76" s="143"/>
    </row>
    <row r="77" spans="2:30" ht="34.5" x14ac:dyDescent="0.35">
      <c r="B77" s="41" t="s">
        <v>274</v>
      </c>
      <c r="C77" s="51" t="s">
        <v>275</v>
      </c>
      <c r="D77" s="41" t="s">
        <v>56</v>
      </c>
      <c r="E77" s="39"/>
      <c r="F77" s="65" t="str">
        <f ca="1">IF(Tableau3[[#This Row],[Date d''expiration ]]&gt;TODAY()+31,"✅",IF(Tableau3[[#This Row],[Date d''expiration ]]&gt; TODAY()+1, "⚠️","⛔️"))</f>
        <v>✅</v>
      </c>
      <c r="G77" s="6">
        <f t="shared" si="43"/>
        <v>46496</v>
      </c>
      <c r="H77" s="40" t="str">
        <f ca="1">IF( Tableau3[[#This Row],[Date d''expiration ]]&gt;TODAY(),"Néant","Cas à justifier")</f>
        <v>Néant</v>
      </c>
      <c r="I77" s="32">
        <v>29494</v>
      </c>
      <c r="J77" s="75">
        <f t="shared" ca="1" si="44"/>
        <v>45.932253742645777</v>
      </c>
      <c r="K77" s="75">
        <f>YEARFRAC(I77,RG_DRH_S1_008!$E$4,1)</f>
        <v>45.249851208189504</v>
      </c>
      <c r="L77" s="75">
        <f>YEARFRAC(I77,RG_DRH_S1_008!$E$5,1)</f>
        <v>46.249839808935747</v>
      </c>
      <c r="M77" s="3" t="s">
        <v>237</v>
      </c>
      <c r="N77" s="3" t="s">
        <v>80</v>
      </c>
      <c r="O77" s="3" t="s">
        <v>81</v>
      </c>
      <c r="P77" s="42">
        <v>45719</v>
      </c>
      <c r="Q77" s="41" t="s">
        <v>47</v>
      </c>
      <c r="R77" s="76">
        <f t="shared" si="45"/>
        <v>44.420307106296875</v>
      </c>
      <c r="S77" s="19" t="str">
        <f>IF(L77&lt;40,"4",IF(L77&lt;50,"3",IF(L77&lt;55,IF(Tableau3[[#This Row],[Fonction]]="Conducteur de ligne","2","3"),"1")))</f>
        <v>3</v>
      </c>
      <c r="T77" s="6">
        <f t="shared" si="46"/>
        <v>46815</v>
      </c>
      <c r="U77" s="42">
        <v>45867</v>
      </c>
      <c r="V77" s="41" t="s">
        <v>48</v>
      </c>
      <c r="W77" s="75">
        <f t="shared" si="47"/>
        <v>44.825496964647066</v>
      </c>
      <c r="X77" s="6" t="str">
        <f>IF(L77&lt;40,"4",IF(L77&lt;55,"3",IF(Tableau3[[#This Row],[Fonction]]="conducteur de ligne","1","2")))</f>
        <v>3</v>
      </c>
      <c r="Y77" s="6">
        <f t="shared" si="48"/>
        <v>46963</v>
      </c>
      <c r="Z77" s="42">
        <v>46131</v>
      </c>
      <c r="AA77" s="3" t="str">
        <f ca="1">IF(Tableau3[[#This Row],[Date prochaine évaluation]]&gt; TODAY(),"Réussi","Examen expiré")</f>
        <v>Réussi</v>
      </c>
      <c r="AB77" s="6">
        <f t="shared" si="49"/>
        <v>46496</v>
      </c>
      <c r="AC77" s="46" t="e">
        <f t="shared" ca="1" si="50"/>
        <v>#VALUE!</v>
      </c>
      <c r="AD77" s="143"/>
    </row>
    <row r="78" spans="2:30" ht="64" x14ac:dyDescent="0.35">
      <c r="B78" s="52" t="s">
        <v>276</v>
      </c>
      <c r="C78" s="52" t="s">
        <v>277</v>
      </c>
      <c r="D78" s="52" t="s">
        <v>56</v>
      </c>
      <c r="E78" s="86"/>
      <c r="F78" s="65" t="str">
        <f ca="1">IF(Tableau3[[#This Row],[Date d''expiration ]]&gt;TODAY()+31,"✅",IF(Tableau3[[#This Row],[Date d''expiration ]]&gt; TODAY()+1, "⚠️","⛔️"))</f>
        <v>⚠️</v>
      </c>
      <c r="G78" s="21">
        <f t="shared" si="43"/>
        <v>46301</v>
      </c>
      <c r="H78" s="40" t="str">
        <f ca="1">IF( Tableau3[[#This Row],[Date d''expiration ]]&gt;TODAY(),"Néant","Cas à justifier")</f>
        <v>Néant</v>
      </c>
      <c r="I78" s="21">
        <v>35896</v>
      </c>
      <c r="J78" s="75">
        <f t="shared" ca="1" si="44"/>
        <v>28.405872356495468</v>
      </c>
      <c r="K78" s="75">
        <f>YEARFRAC(I78,RG_DRH_S1_008!$E$4,1)</f>
        <v>27.723477070499658</v>
      </c>
      <c r="L78" s="75">
        <f>YEARFRAC(I78,RG_DRH_S1_008!$E$5,1)</f>
        <v>28.723470543806648</v>
      </c>
      <c r="M78" s="3" t="s">
        <v>237</v>
      </c>
      <c r="N78" s="3" t="s">
        <v>173</v>
      </c>
      <c r="O78" s="3" t="s">
        <v>73</v>
      </c>
      <c r="P78" s="42">
        <v>44840</v>
      </c>
      <c r="Q78" s="41" t="s">
        <v>47</v>
      </c>
      <c r="R78" s="76">
        <f t="shared" si="45"/>
        <v>24.488007885226153</v>
      </c>
      <c r="S78" s="19" t="str">
        <f>IF(L78&lt;40,"4",IF(L78&lt;50,"3",IF(L78&lt;55,IF(Tableau3[[#This Row],[Fonction]]="Conducteur de ligne","2","3"),"1")))</f>
        <v>4</v>
      </c>
      <c r="T78" s="6">
        <f t="shared" si="46"/>
        <v>46301</v>
      </c>
      <c r="U78" s="42">
        <v>45897</v>
      </c>
      <c r="V78" s="41" t="s">
        <v>48</v>
      </c>
      <c r="W78" s="75">
        <f t="shared" si="47"/>
        <v>27.381245722108144</v>
      </c>
      <c r="X78" s="6" t="str">
        <f>IF(L78&lt;40,"4",IF(L78&lt;55,"3",IF(Tableau3[[#This Row],[Fonction]]="conducteur de ligne","1","2")))</f>
        <v>4</v>
      </c>
      <c r="Y78" s="6">
        <f t="shared" si="48"/>
        <v>47358</v>
      </c>
      <c r="Z78" s="42">
        <v>46041</v>
      </c>
      <c r="AA78" s="3" t="str">
        <f ca="1">IF(Tableau3[[#This Row],[Date prochaine évaluation]]&gt; TODAY(),"Réussi","Examen expiré")</f>
        <v>Réussi</v>
      </c>
      <c r="AB78" s="6">
        <f t="shared" si="49"/>
        <v>46406</v>
      </c>
      <c r="AC78" s="46" t="e">
        <f t="shared" ca="1" si="50"/>
        <v>#VALUE!</v>
      </c>
      <c r="AD78" s="143"/>
    </row>
    <row r="79" spans="2:30" ht="48" x14ac:dyDescent="0.35">
      <c r="B79" s="41" t="s">
        <v>278</v>
      </c>
      <c r="C79" s="51" t="s">
        <v>279</v>
      </c>
      <c r="D79" s="41" t="s">
        <v>56</v>
      </c>
      <c r="E79" s="39"/>
      <c r="F79" s="65" t="str">
        <f ca="1">IF(Tableau3[[#This Row],[Date d''expiration ]]&gt;TODAY()+31,"✅",IF(Tableau3[[#This Row],[Date d''expiration ]]&gt; TODAY()+1, "⚠️","⛔️"))</f>
        <v>⛔️</v>
      </c>
      <c r="G79" s="6">
        <f t="shared" si="43"/>
        <v>46272</v>
      </c>
      <c r="H79" s="40" t="str">
        <f ca="1">IF( Tableau3[[#This Row],[Date d''expiration ]]&gt;TODAY(),"Néant","Cas à justifier")</f>
        <v>Néant</v>
      </c>
      <c r="I79" s="32">
        <v>26870</v>
      </c>
      <c r="J79" s="75">
        <f t="shared" ca="1" si="44"/>
        <v>53.118389697307705</v>
      </c>
      <c r="K79" s="75">
        <f>YEARFRAC(I79,RG_DRH_S1_008!$E$4,1)</f>
        <v>52.43599545407583</v>
      </c>
      <c r="L79" s="75">
        <f>YEARFRAC(I79,RG_DRH_S1_008!$E$5,1)</f>
        <v>53.435988439892505</v>
      </c>
      <c r="M79" s="3" t="s">
        <v>237</v>
      </c>
      <c r="N79" s="3" t="s">
        <v>57</v>
      </c>
      <c r="O79" s="3" t="s">
        <v>268</v>
      </c>
      <c r="P79" s="42">
        <v>46136</v>
      </c>
      <c r="Q79" s="41" t="s">
        <v>47</v>
      </c>
      <c r="R79" s="76">
        <f t="shared" si="45"/>
        <v>52.748770471023676</v>
      </c>
      <c r="S79" s="19" t="str">
        <f>IF(L79&lt;40,"4",IF(L79&lt;50,"3",IF(L79&lt;55,IF(Tableau3[[#This Row],[Fonction]]="Conducteur de ligne","2","3"),"1")))</f>
        <v>3</v>
      </c>
      <c r="T79" s="6">
        <f t="shared" si="46"/>
        <v>47232</v>
      </c>
      <c r="U79" s="42">
        <v>45793</v>
      </c>
      <c r="V79" s="41" t="s">
        <v>48</v>
      </c>
      <c r="W79" s="75">
        <f t="shared" si="47"/>
        <v>51.809019526810616</v>
      </c>
      <c r="X79" s="6" t="str">
        <f>IF(L79&lt;40,"4",IF(L79&lt;55,"3",IF(Tableau3[[#This Row],[Fonction]]="conducteur de ligne","1","2")))</f>
        <v>3</v>
      </c>
      <c r="Y79" s="6">
        <f t="shared" si="48"/>
        <v>46889</v>
      </c>
      <c r="Z79" s="42">
        <v>45907</v>
      </c>
      <c r="AA79" s="3" t="str">
        <f ca="1">IF(Tableau3[[#This Row],[Date prochaine évaluation]]&gt; TODAY(),"Réussi","Examen expiré")</f>
        <v>Réussi</v>
      </c>
      <c r="AB79" s="6">
        <f t="shared" si="49"/>
        <v>46272</v>
      </c>
      <c r="AC79" s="46" t="e">
        <f t="shared" ca="1" si="50"/>
        <v>#VALUE!</v>
      </c>
      <c r="AD79" s="143"/>
    </row>
    <row r="80" spans="2:30" ht="48" x14ac:dyDescent="0.35">
      <c r="B80" s="52" t="s">
        <v>280</v>
      </c>
      <c r="C80" s="52" t="s">
        <v>281</v>
      </c>
      <c r="D80" s="52" t="s">
        <v>56</v>
      </c>
      <c r="E80" s="86"/>
      <c r="F80" s="65" t="str">
        <f ca="1">IF(Tableau3[[#This Row],[Date d''expiration ]]&gt;TODAY()+31,"✅",IF(Tableau3[[#This Row],[Date d''expiration ]]&gt; TODAY()+1, "⚠️","⛔️"))</f>
        <v>✅</v>
      </c>
      <c r="G80" s="21">
        <f t="shared" si="43"/>
        <v>46315</v>
      </c>
      <c r="H80" s="40" t="str">
        <f ca="1">IF( Tableau3[[#This Row],[Date d''expiration ]]&gt;TODAY(),"Néant","Cas à justifier")</f>
        <v>Néant</v>
      </c>
      <c r="I80" s="21">
        <v>35833</v>
      </c>
      <c r="J80" s="75">
        <f t="shared" ca="1" si="44"/>
        <v>28.578361027190333</v>
      </c>
      <c r="K80" s="75">
        <f>YEARFRAC(I80,RG_DRH_S1_008!$E$4,1)</f>
        <v>27.89596167008898</v>
      </c>
      <c r="L80" s="75">
        <f>YEARFRAC(I80,RG_DRH_S1_008!$E$5,1)</f>
        <v>28.895959214501509</v>
      </c>
      <c r="M80" s="3" t="s">
        <v>237</v>
      </c>
      <c r="N80" s="3" t="s">
        <v>173</v>
      </c>
      <c r="O80" s="3" t="s">
        <v>268</v>
      </c>
      <c r="P80" s="42">
        <v>44854</v>
      </c>
      <c r="Q80" s="41" t="s">
        <v>47</v>
      </c>
      <c r="R80" s="76">
        <f t="shared" si="45"/>
        <v>24.698828167780089</v>
      </c>
      <c r="S80" s="19" t="str">
        <f>IF(L80&lt;40,"4",IF(L80&lt;50,"3",IF(L80&lt;55,IF(Tableau3[[#This Row],[Fonction]]="Conducteur de ligne","2","3"),"1")))</f>
        <v>4</v>
      </c>
      <c r="T80" s="6">
        <f t="shared" si="46"/>
        <v>46315</v>
      </c>
      <c r="U80" s="42">
        <v>45832</v>
      </c>
      <c r="V80" s="41" t="s">
        <v>48</v>
      </c>
      <c r="W80" s="75">
        <f t="shared" si="47"/>
        <v>27.375770020533881</v>
      </c>
      <c r="X80" s="6" t="str">
        <f>IF(L80&lt;40,"4",IF(L80&lt;55,"3",IF(Tableau3[[#This Row],[Fonction]]="conducteur de ligne","1","2")))</f>
        <v>4</v>
      </c>
      <c r="Y80" s="6">
        <f t="shared" si="48"/>
        <v>47293</v>
      </c>
      <c r="Z80" s="42">
        <v>46050</v>
      </c>
      <c r="AA80" s="3" t="str">
        <f ca="1">IF(Tableau3[[#This Row],[Date prochaine évaluation]]&gt; TODAY(),"Réussi","Examen expiré")</f>
        <v>Réussi</v>
      </c>
      <c r="AB80" s="6">
        <f t="shared" si="49"/>
        <v>46415</v>
      </c>
      <c r="AC80" s="46" t="e">
        <f t="shared" ca="1" si="50"/>
        <v>#VALUE!</v>
      </c>
      <c r="AD80" s="143"/>
    </row>
    <row r="81" spans="2:30" ht="48" x14ac:dyDescent="0.35">
      <c r="B81" s="41" t="s">
        <v>282</v>
      </c>
      <c r="C81" s="51" t="s">
        <v>283</v>
      </c>
      <c r="D81" s="41" t="s">
        <v>56</v>
      </c>
      <c r="E81" s="39"/>
      <c r="F81" s="65" t="str">
        <f ca="1">IF(Tableau3[[#This Row],[Date d''expiration ]]&gt;TODAY()+31,"✅",IF(Tableau3[[#This Row],[Date d''expiration ]]&gt; TODAY()+1, "⚠️","⛔️"))</f>
        <v>⚠️</v>
      </c>
      <c r="G81" s="6">
        <f t="shared" si="43"/>
        <v>46274</v>
      </c>
      <c r="H81" s="40" t="str">
        <f ca="1">IF( Tableau3[[#This Row],[Date d''expiration ]]&gt;TODAY(),"Néant","Cas à justifier")</f>
        <v>Néant</v>
      </c>
      <c r="I81" s="32">
        <v>35627</v>
      </c>
      <c r="J81" s="75">
        <f t="shared" ca="1" si="44"/>
        <v>29.143013598612757</v>
      </c>
      <c r="K81" s="75">
        <f>YEARFRAC(I81,RG_DRH_S1_008!$E$4,1)</f>
        <v>28.46063066465257</v>
      </c>
      <c r="L81" s="75">
        <f>YEARFRAC(I81,RG_DRH_S1_008!$E$5,1)</f>
        <v>29.46061878251346</v>
      </c>
      <c r="M81" s="3" t="s">
        <v>237</v>
      </c>
      <c r="N81" s="3" t="s">
        <v>173</v>
      </c>
      <c r="O81" s="3" t="s">
        <v>268</v>
      </c>
      <c r="P81" s="42">
        <v>45121</v>
      </c>
      <c r="Q81" s="41" t="s">
        <v>47</v>
      </c>
      <c r="R81" s="76">
        <f t="shared" si="45"/>
        <v>25.995132339519319</v>
      </c>
      <c r="S81" s="19" t="str">
        <f>IF(L81&lt;40,"4",IF(L81&lt;50,"3",IF(L81&lt;55,IF(Tableau3[[#This Row],[Fonction]]="Conducteur de ligne","2","3"),"1")))</f>
        <v>4</v>
      </c>
      <c r="T81" s="6">
        <f t="shared" si="46"/>
        <v>46582</v>
      </c>
      <c r="U81" s="42">
        <v>44813</v>
      </c>
      <c r="V81" s="41" t="s">
        <v>48</v>
      </c>
      <c r="W81" s="75">
        <f t="shared" si="47"/>
        <v>25.151221566975568</v>
      </c>
      <c r="X81" s="6" t="str">
        <f>IF(L81&lt;40,"4",IF(L81&lt;55,"3",IF(Tableau3[[#This Row],[Fonction]]="conducteur de ligne","1","2")))</f>
        <v>4</v>
      </c>
      <c r="Y81" s="6">
        <f t="shared" si="48"/>
        <v>46274</v>
      </c>
      <c r="Z81" s="42">
        <v>46160</v>
      </c>
      <c r="AA81" s="3" t="str">
        <f ca="1">IF(Tableau3[[#This Row],[Date prochaine évaluation]]&gt; TODAY(),"Réussi","Examen expiré")</f>
        <v>Réussi</v>
      </c>
      <c r="AB81" s="6">
        <f t="shared" si="49"/>
        <v>46525</v>
      </c>
      <c r="AC81" s="46" t="e">
        <f t="shared" ca="1" si="50"/>
        <v>#VALUE!</v>
      </c>
      <c r="AD81" s="143"/>
    </row>
    <row r="82" spans="2:30" ht="48" x14ac:dyDescent="0.35">
      <c r="B82" s="52" t="s">
        <v>284</v>
      </c>
      <c r="C82" s="52" t="s">
        <v>285</v>
      </c>
      <c r="D82" s="52" t="s">
        <v>109</v>
      </c>
      <c r="E82" s="86"/>
      <c r="F82" s="65" t="str">
        <f ca="1">IF(Tableau3[[#This Row],[Date d''expiration ]]&gt;TODAY()+31,"✅",IF(Tableau3[[#This Row],[Date d''expiration ]]&gt; TODAY()+1, "⚠️","⛔️"))</f>
        <v>✅</v>
      </c>
      <c r="G82" s="21">
        <f t="shared" si="43"/>
        <v>46548</v>
      </c>
      <c r="H82" s="40" t="str">
        <f ca="1">IF( Tableau3[[#This Row],[Date d''expiration ]]&gt;TODAY(),"Néant","Cas à justifier")</f>
        <v>Néant</v>
      </c>
      <c r="I82" s="20">
        <v>36836</v>
      </c>
      <c r="J82" s="75">
        <f t="shared" ca="1" si="44"/>
        <v>25.830967349422025</v>
      </c>
      <c r="K82" s="75">
        <f>YEARFRAC(I82,RG_DRH_S1_008!$E$4,1)</f>
        <v>25.148573233652733</v>
      </c>
      <c r="L82" s="75">
        <f>YEARFRAC(I82,RG_DRH_S1_008!$E$5,1)</f>
        <v>26.148549989860072</v>
      </c>
      <c r="M82" s="3" t="s">
        <v>237</v>
      </c>
      <c r="N82" s="3" t="s">
        <v>173</v>
      </c>
      <c r="O82" s="3" t="s">
        <v>268</v>
      </c>
      <c r="P82" s="42">
        <v>45621</v>
      </c>
      <c r="Q82" s="41" t="s">
        <v>47</v>
      </c>
      <c r="R82" s="76">
        <f t="shared" si="45"/>
        <v>24.050043802014894</v>
      </c>
      <c r="S82" s="19" t="str">
        <f>IF(L82&lt;40,"4",IF(L82&lt;50,"3",IF(L82&lt;55,IF(Tableau3[[#This Row],[Fonction]]="Conducteur de ligne","2","3"),"1")))</f>
        <v>4</v>
      </c>
      <c r="T82" s="6">
        <f t="shared" si="46"/>
        <v>47082</v>
      </c>
      <c r="U82" s="42">
        <v>45986</v>
      </c>
      <c r="V82" s="41" t="s">
        <v>48</v>
      </c>
      <c r="W82" s="75">
        <f t="shared" si="47"/>
        <v>25.050015794461409</v>
      </c>
      <c r="X82" s="6" t="str">
        <f>IF(L82&lt;40,"4",IF(L82&lt;55,"3",IF(Tableau3[[#This Row],[Fonction]]="conducteur de ligne","1","2")))</f>
        <v>4</v>
      </c>
      <c r="Y82" s="6">
        <f t="shared" si="48"/>
        <v>47447</v>
      </c>
      <c r="Z82" s="42">
        <v>46183</v>
      </c>
      <c r="AA82" s="3" t="str">
        <f ca="1">IF(Tableau3[[#This Row],[Date prochaine évaluation]]&gt; TODAY(),"Réussi","Examen expiré")</f>
        <v>Réussi</v>
      </c>
      <c r="AB82" s="6">
        <f t="shared" si="49"/>
        <v>46548</v>
      </c>
      <c r="AC82" s="46" t="e">
        <f t="shared" ca="1" si="50"/>
        <v>#VALUE!</v>
      </c>
      <c r="AD82" s="143"/>
    </row>
    <row r="83" spans="2:30" ht="48" x14ac:dyDescent="0.35">
      <c r="B83" s="52" t="s">
        <v>286</v>
      </c>
      <c r="C83" s="52" t="s">
        <v>287</v>
      </c>
      <c r="D83" s="52" t="s">
        <v>56</v>
      </c>
      <c r="E83" s="86"/>
      <c r="F83" s="65" t="str">
        <f ca="1">IF(Tableau3[[#This Row],[Date d''expiration ]]&gt;TODAY()+31,"✅",IF(Tableau3[[#This Row],[Date d''expiration ]]&gt; TODAY()+1, "⚠️","⛔️"))</f>
        <v>⚠️</v>
      </c>
      <c r="G83" s="21">
        <f t="shared" si="43"/>
        <v>46279</v>
      </c>
      <c r="H83" s="176" t="s">
        <v>314</v>
      </c>
      <c r="I83" s="21">
        <v>34817</v>
      </c>
      <c r="J83" s="75">
        <f t="shared" ca="1" si="44"/>
        <v>31.359342915811087</v>
      </c>
      <c r="K83" s="75">
        <f>YEARFRAC(I83,RG_DRH_S1_008!$E$4,1)</f>
        <v>30.67694074008655</v>
      </c>
      <c r="L83" s="75">
        <f>YEARFRAC(I83,RG_DRH_S1_008!$E$5,1)</f>
        <v>31.676933607118411</v>
      </c>
      <c r="M83" s="3" t="s">
        <v>237</v>
      </c>
      <c r="N83" s="3" t="s">
        <v>173</v>
      </c>
      <c r="O83" s="3" t="s">
        <v>268</v>
      </c>
      <c r="P83" s="42">
        <v>45314</v>
      </c>
      <c r="Q83" s="41" t="s">
        <v>47</v>
      </c>
      <c r="R83" s="76">
        <f t="shared" si="45"/>
        <v>28.737908377441141</v>
      </c>
      <c r="S83" s="19" t="str">
        <f>IF(L83&lt;40,"4",IF(L83&lt;50,"3",IF(L83&lt;55,IF(Tableau3[[#This Row],[Fonction]]="Conducteur de ligne","2","3"),"1")))</f>
        <v>4</v>
      </c>
      <c r="T83" s="6">
        <f t="shared" si="46"/>
        <v>46775</v>
      </c>
      <c r="U83" s="42">
        <v>45723</v>
      </c>
      <c r="V83" s="41" t="s">
        <v>48</v>
      </c>
      <c r="W83" s="75">
        <f t="shared" si="47"/>
        <v>29.858341428949924</v>
      </c>
      <c r="X83" s="6" t="str">
        <f>IF(L83&lt;40,"4",IF(L83&lt;55,"3",IF(Tableau3[[#This Row],[Fonction]]="conducteur de ligne","1","2")))</f>
        <v>4</v>
      </c>
      <c r="Y83" s="6">
        <f t="shared" si="48"/>
        <v>47184</v>
      </c>
      <c r="Z83" s="42">
        <v>45914</v>
      </c>
      <c r="AA83" s="3" t="str">
        <f ca="1">IF(Tableau3[[#This Row],[Date prochaine évaluation]]&gt; TODAY(),"Réussi","Examen expiré")</f>
        <v>Réussi</v>
      </c>
      <c r="AB83" s="6">
        <f t="shared" si="49"/>
        <v>46279</v>
      </c>
      <c r="AC83" s="46" t="e">
        <f t="shared" ca="1" si="50"/>
        <v>#VALUE!</v>
      </c>
      <c r="AD83" s="143"/>
    </row>
    <row r="84" spans="2:30" ht="34.5" x14ac:dyDescent="0.35">
      <c r="B84" s="41" t="s">
        <v>288</v>
      </c>
      <c r="C84" s="51" t="s">
        <v>289</v>
      </c>
      <c r="D84" s="41" t="s">
        <v>56</v>
      </c>
      <c r="E84" s="39"/>
      <c r="F84" s="65" t="str">
        <f ca="1">IF(Tableau3[[#This Row],[Date d''expiration ]]&gt;TODAY()+31,"✅",IF(Tableau3[[#This Row],[Date d''expiration ]]&gt; TODAY()+1, "⚠️","⛔️"))</f>
        <v>⚠️</v>
      </c>
      <c r="G84" s="6">
        <f t="shared" si="43"/>
        <v>46275</v>
      </c>
      <c r="H84" s="40" t="str">
        <f ca="1">IF( Tableau3[[#This Row],[Date d''expiration ]]&gt;TODAY(),"Néant","Cas à justifier")</f>
        <v>Néant</v>
      </c>
      <c r="I84" s="32">
        <v>25020</v>
      </c>
      <c r="J84" s="75">
        <f t="shared" ca="1" si="44"/>
        <v>58.181392111368908</v>
      </c>
      <c r="K84" s="75">
        <f>YEARFRAC(I84,RG_DRH_S1_008!$E$4,1)</f>
        <v>57.498985130988906</v>
      </c>
      <c r="L84" s="75">
        <f>YEARFRAC(I84,RG_DRH_S1_008!$E$5,1)</f>
        <v>58.498979118329466</v>
      </c>
      <c r="M84" s="3" t="s">
        <v>237</v>
      </c>
      <c r="N84" s="3" t="s">
        <v>80</v>
      </c>
      <c r="O84" s="3" t="s">
        <v>81</v>
      </c>
      <c r="P84" s="42">
        <v>46105</v>
      </c>
      <c r="Q84" s="41" t="s">
        <v>47</v>
      </c>
      <c r="R84" s="76">
        <f t="shared" si="45"/>
        <v>57.726914153132249</v>
      </c>
      <c r="S84" s="19" t="str">
        <f>IF(L84&lt;40,"4",IF(L84&lt;50,"3",IF(L84&lt;55,IF(Tableau3[[#This Row],[Fonction]]="Conducteur de ligne","2","3"),"1")))</f>
        <v>1</v>
      </c>
      <c r="T84" s="6">
        <f t="shared" si="46"/>
        <v>46470</v>
      </c>
      <c r="U84" s="42">
        <v>46023</v>
      </c>
      <c r="V84" s="41" t="s">
        <v>48</v>
      </c>
      <c r="W84" s="75">
        <f t="shared" si="47"/>
        <v>57.502412993039442</v>
      </c>
      <c r="X84" s="6" t="str">
        <f>IF(L84&lt;40,"4",IF(L84&lt;55,"3",IF(Tableau3[[#This Row],[Fonction]]="conducteur de ligne","1","2")))</f>
        <v>2</v>
      </c>
      <c r="Y84" s="6">
        <f t="shared" si="48"/>
        <v>46753</v>
      </c>
      <c r="Z84" s="42">
        <v>45910</v>
      </c>
      <c r="AA84" s="3" t="str">
        <f ca="1">IF(Tableau3[[#This Row],[Date prochaine évaluation]]&gt; TODAY(),"Réussi","Examen expiré")</f>
        <v>Réussi</v>
      </c>
      <c r="AB84" s="6">
        <f t="shared" si="49"/>
        <v>46275</v>
      </c>
      <c r="AC84" s="46" t="e">
        <f t="shared" ca="1" si="50"/>
        <v>#VALUE!</v>
      </c>
      <c r="AD84" s="143"/>
    </row>
    <row r="85" spans="2:30" ht="48" x14ac:dyDescent="0.35">
      <c r="B85" s="52" t="s">
        <v>290</v>
      </c>
      <c r="C85" s="52" t="s">
        <v>291</v>
      </c>
      <c r="D85" s="52" t="s">
        <v>56</v>
      </c>
      <c r="E85" s="86"/>
      <c r="F85" s="65" t="str">
        <f ca="1">IF(Tableau3[[#This Row],[Date d''expiration ]]&gt;TODAY()+31,"✅",IF(Tableau3[[#This Row],[Date d''expiration ]]&gt; TODAY()+1, "⚠️","⛔️"))</f>
        <v>✅</v>
      </c>
      <c r="G85" s="21">
        <f t="shared" si="43"/>
        <v>46322</v>
      </c>
      <c r="H85" s="40" t="str">
        <f ca="1">IF( Tableau3[[#This Row],[Date d''expiration ]]&gt;TODAY(),"Néant","Cas à justifier")</f>
        <v>Néant</v>
      </c>
      <c r="I85" s="21">
        <v>36222</v>
      </c>
      <c r="J85" s="75">
        <f t="shared" ca="1" si="44"/>
        <v>27.512662559890487</v>
      </c>
      <c r="K85" s="75">
        <f>YEARFRAC(I85,RG_DRH_S1_008!$E$4,1)</f>
        <v>26.830257554248632</v>
      </c>
      <c r="L85" s="75">
        <f>YEARFRAC(I85,RG_DRH_S1_008!$E$5,1)</f>
        <v>27.83025325119781</v>
      </c>
      <c r="M85" s="3" t="s">
        <v>237</v>
      </c>
      <c r="N85" s="3" t="s">
        <v>173</v>
      </c>
      <c r="O85" s="3" t="s">
        <v>268</v>
      </c>
      <c r="P85" s="42">
        <v>45345</v>
      </c>
      <c r="Q85" s="41" t="s">
        <v>47</v>
      </c>
      <c r="R85" s="76">
        <f t="shared" si="45"/>
        <v>24.976097715067915</v>
      </c>
      <c r="S85" s="19" t="str">
        <f>IF(L85&lt;40,"4",IF(L85&lt;50,"3",IF(L85&lt;55,IF(Tableau3[[#This Row],[Fonction]]="Conducteur de ligne","2","3"),"1")))</f>
        <v>4</v>
      </c>
      <c r="T85" s="6">
        <f t="shared" si="46"/>
        <v>46806</v>
      </c>
      <c r="U85" s="42">
        <v>44984</v>
      </c>
      <c r="V85" s="41" t="s">
        <v>48</v>
      </c>
      <c r="W85" s="75">
        <f t="shared" si="47"/>
        <v>23.989705399189575</v>
      </c>
      <c r="X85" s="6" t="str">
        <f>IF(L85&lt;40,"4",IF(L85&lt;55,"3",IF(Tableau3[[#This Row],[Fonction]]="conducteur de ligne","1","2")))</f>
        <v>4</v>
      </c>
      <c r="Y85" s="6">
        <f t="shared" si="48"/>
        <v>46445</v>
      </c>
      <c r="Z85" s="42">
        <v>45957</v>
      </c>
      <c r="AA85" s="3" t="str">
        <f ca="1">IF(Tableau3[[#This Row],[Date prochaine évaluation]]&gt; TODAY(),"Réussi","Examen expiré")</f>
        <v>Réussi</v>
      </c>
      <c r="AB85" s="6">
        <f t="shared" si="49"/>
        <v>46322</v>
      </c>
      <c r="AC85" s="46" t="e">
        <f t="shared" ca="1" si="50"/>
        <v>#VALUE!</v>
      </c>
      <c r="AD85" s="143"/>
    </row>
    <row r="86" spans="2:30" ht="34.5" x14ac:dyDescent="0.35">
      <c r="B86" s="41" t="s">
        <v>292</v>
      </c>
      <c r="C86" s="51" t="s">
        <v>293</v>
      </c>
      <c r="D86" s="41" t="s">
        <v>56</v>
      </c>
      <c r="E86" s="39"/>
      <c r="F86" s="65" t="str">
        <f ca="1">IF(Tableau3[[#This Row],[Date d''expiration ]]&gt;TODAY()+31,"✅",IF(Tableau3[[#This Row],[Date d''expiration ]]&gt; TODAY()+1, "⚠️","⛔️"))</f>
        <v>✅</v>
      </c>
      <c r="G86" s="6">
        <f t="shared" si="43"/>
        <v>46458</v>
      </c>
      <c r="H86" s="40" t="str">
        <f ca="1">IF( Tableau3[[#This Row],[Date d''expiration ]]&gt;TODAY(),"Néant","Cas à justifier")</f>
        <v>Néant</v>
      </c>
      <c r="I86" s="32">
        <v>28219</v>
      </c>
      <c r="J86" s="75">
        <f t="shared" ca="1" si="44"/>
        <v>49.425035593034714</v>
      </c>
      <c r="K86" s="75">
        <f>YEARFRAC(I86,RG_DRH_S1_008!$E$4,1)</f>
        <v>48.742638431021959</v>
      </c>
      <c r="L86" s="75">
        <f>YEARFRAC(I86,RG_DRH_S1_008!$E$5,1)</f>
        <v>49.74263497973935</v>
      </c>
      <c r="M86" s="3" t="s">
        <v>237</v>
      </c>
      <c r="N86" s="3" t="s">
        <v>80</v>
      </c>
      <c r="O86" s="3" t="s">
        <v>81</v>
      </c>
      <c r="P86" s="42">
        <v>45642</v>
      </c>
      <c r="Q86" s="41" t="s">
        <v>47</v>
      </c>
      <c r="R86" s="76">
        <f t="shared" si="45"/>
        <v>47.701574264202598</v>
      </c>
      <c r="S86" s="19" t="str">
        <f>IF(L86&lt;40,"4",IF(L86&lt;50,"3",IF(L86&lt;55,IF(Tableau3[[#This Row],[Fonction]]="Conducteur de ligne","2","3"),"1")))</f>
        <v>3</v>
      </c>
      <c r="T86" s="6">
        <f t="shared" si="46"/>
        <v>46737</v>
      </c>
      <c r="U86" s="42">
        <v>45734</v>
      </c>
      <c r="V86" s="41" t="s">
        <v>48</v>
      </c>
      <c r="W86" s="75">
        <f t="shared" si="47"/>
        <v>47.954126389897745</v>
      </c>
      <c r="X86" s="6" t="str">
        <f>IF(L86&lt;40,"4",IF(L86&lt;55,"3",IF(Tableau3[[#This Row],[Fonction]]="conducteur de ligne","1","2")))</f>
        <v>3</v>
      </c>
      <c r="Y86" s="6">
        <f t="shared" si="48"/>
        <v>46830</v>
      </c>
      <c r="Z86" s="42">
        <v>46093</v>
      </c>
      <c r="AA86" s="3" t="str">
        <f ca="1">IF(Tableau3[[#This Row],[Date prochaine évaluation]]&gt; TODAY(),"Réussi","Examen expiré")</f>
        <v>Réussi</v>
      </c>
      <c r="AB86" s="6">
        <f t="shared" si="49"/>
        <v>46458</v>
      </c>
      <c r="AC86" s="46" t="e">
        <f t="shared" ca="1" si="50"/>
        <v>#VALUE!</v>
      </c>
      <c r="AD86" s="143"/>
    </row>
    <row r="87" spans="2:30" ht="64" x14ac:dyDescent="0.35">
      <c r="B87" s="52" t="s">
        <v>294</v>
      </c>
      <c r="C87" s="52" t="s">
        <v>295</v>
      </c>
      <c r="D87" s="52" t="s">
        <v>56</v>
      </c>
      <c r="E87" s="86"/>
      <c r="F87" s="65" t="str">
        <f ca="1">IF(Tableau3[[#This Row],[Date d''expiration ]]&gt;TODAY()+31,"✅",IF(Tableau3[[#This Row],[Date d''expiration ]]&gt; TODAY()+1, "⚠️","⛔️"))</f>
        <v>⛔️</v>
      </c>
      <c r="G87" s="21">
        <f t="shared" si="43"/>
        <v>46270</v>
      </c>
      <c r="H87" s="40" t="str">
        <f ca="1">IF( Tableau3[[#This Row],[Date d''expiration ]]&gt;TODAY(),"Néant","Cas à justifier")</f>
        <v>Cas à justifier</v>
      </c>
      <c r="I87" s="21">
        <v>35471</v>
      </c>
      <c r="J87" s="75">
        <f t="shared" ca="1" si="44"/>
        <v>29.570137811444738</v>
      </c>
      <c r="K87" s="75">
        <f>YEARFRAC(I87,RG_DRH_S1_008!$E$4,1)</f>
        <v>28.887745468277945</v>
      </c>
      <c r="L87" s="75">
        <f>YEARFRAC(I87,RG_DRH_S1_008!$E$5,1)</f>
        <v>29.887742995345441</v>
      </c>
      <c r="M87" s="3" t="s">
        <v>237</v>
      </c>
      <c r="N87" s="3" t="s">
        <v>173</v>
      </c>
      <c r="O87" s="3" t="s">
        <v>73</v>
      </c>
      <c r="P87" s="42">
        <v>45110</v>
      </c>
      <c r="Q87" s="41" t="s">
        <v>47</v>
      </c>
      <c r="R87" s="76">
        <f t="shared" si="45"/>
        <v>26.392150897474902</v>
      </c>
      <c r="S87" s="19" t="str">
        <f>IF(L87&lt;40,"4",IF(L87&lt;50,"3",IF(L87&lt;55,IF(Tableau3[[#This Row],[Fonction]]="Conducteur de ligne","2","3"),"1")))</f>
        <v>4</v>
      </c>
      <c r="T87" s="6">
        <f t="shared" si="46"/>
        <v>46571</v>
      </c>
      <c r="U87" s="42">
        <v>44809</v>
      </c>
      <c r="V87" s="41" t="s">
        <v>48</v>
      </c>
      <c r="W87" s="75">
        <f t="shared" si="47"/>
        <v>25.567396798652066</v>
      </c>
      <c r="X87" s="6" t="str">
        <f>IF(L87&lt;40,"4",IF(L87&lt;55,"3",IF(Tableau3[[#This Row],[Fonction]]="conducteur de ligne","1","2")))</f>
        <v>4</v>
      </c>
      <c r="Y87" s="6">
        <f t="shared" si="48"/>
        <v>46270</v>
      </c>
      <c r="Z87" s="42">
        <v>46144</v>
      </c>
      <c r="AA87" s="3" t="str">
        <f ca="1">IF(Tableau3[[#This Row],[Date prochaine évaluation]]&gt; TODAY(),"Réussi","Examen expiré")</f>
        <v>Réussi</v>
      </c>
      <c r="AB87" s="6">
        <f t="shared" si="49"/>
        <v>46509</v>
      </c>
      <c r="AC87" s="46" t="e">
        <f t="shared" ca="1" si="50"/>
        <v>#VALUE!</v>
      </c>
      <c r="AD87" s="143"/>
    </row>
    <row r="88" spans="2:30" ht="34.5" x14ac:dyDescent="0.35">
      <c r="B88" s="41" t="s">
        <v>296</v>
      </c>
      <c r="C88" s="51" t="s">
        <v>297</v>
      </c>
      <c r="D88" s="41" t="s">
        <v>56</v>
      </c>
      <c r="E88" s="39"/>
      <c r="F88" s="65" t="str">
        <f ca="1">IF(Tableau3[[#This Row],[Date d''expiration ]]&gt;TODAY()+31,"✅",IF(Tableau3[[#This Row],[Date d''expiration ]]&gt; TODAY()+1, "⚠️","⛔️"))</f>
        <v>✅</v>
      </c>
      <c r="G88" s="6">
        <f t="shared" si="43"/>
        <v>46430</v>
      </c>
      <c r="H88" s="40" t="str">
        <f ca="1">IF( Tableau3[[#This Row],[Date d''expiration ]]&gt;TODAY(),"Néant","Cas à justifier")</f>
        <v>Néant</v>
      </c>
      <c r="I88" s="32">
        <v>27494</v>
      </c>
      <c r="J88" s="75">
        <f t="shared" ca="1" si="44"/>
        <v>51.408624229979466</v>
      </c>
      <c r="K88" s="75">
        <f>YEARFRAC(I88,RG_DRH_S1_008!$E$4,1)</f>
        <v>50.726218595662445</v>
      </c>
      <c r="L88" s="75">
        <f>YEARFRAC(I88,RG_DRH_S1_008!$E$5,1)</f>
        <v>51.72621492128679</v>
      </c>
      <c r="M88" s="3" t="s">
        <v>237</v>
      </c>
      <c r="N88" s="3" t="s">
        <v>80</v>
      </c>
      <c r="O88" s="3" t="s">
        <v>81</v>
      </c>
      <c r="P88" s="42">
        <v>45853</v>
      </c>
      <c r="Q88" s="41" t="s">
        <v>47</v>
      </c>
      <c r="R88" s="76">
        <f t="shared" si="45"/>
        <v>50.263528022331975</v>
      </c>
      <c r="S88" s="19" t="str">
        <f>IF(L88&lt;40,"4",IF(L88&lt;50,"3",IF(L88&lt;55,IF(Tableau3[[#This Row],[Fonction]]="Conducteur de ligne","2","3"),"1")))</f>
        <v>3</v>
      </c>
      <c r="T88" s="6">
        <f t="shared" si="46"/>
        <v>46949</v>
      </c>
      <c r="U88" s="42">
        <v>45751</v>
      </c>
      <c r="V88" s="41" t="s">
        <v>48</v>
      </c>
      <c r="W88" s="75">
        <f t="shared" si="47"/>
        <v>49.984270989907664</v>
      </c>
      <c r="X88" s="6" t="str">
        <f>IF(L88&lt;40,"4",IF(L88&lt;55,"3",IF(Tableau3[[#This Row],[Fonction]]="conducteur de ligne","1","2")))</f>
        <v>3</v>
      </c>
      <c r="Y88" s="6">
        <f t="shared" si="48"/>
        <v>46847</v>
      </c>
      <c r="Z88" s="42">
        <v>46065</v>
      </c>
      <c r="AA88" s="3" t="str">
        <f ca="1">IF(Tableau3[[#This Row],[Date prochaine évaluation]]&gt; TODAY(),"Réussi","Examen expiré")</f>
        <v>Réussi</v>
      </c>
      <c r="AB88" s="6">
        <f t="shared" si="49"/>
        <v>46430</v>
      </c>
      <c r="AC88" s="46" t="e">
        <f t="shared" ca="1" si="50"/>
        <v>#VALUE!</v>
      </c>
      <c r="AD88" s="143"/>
    </row>
    <row r="89" spans="2:30" ht="48" x14ac:dyDescent="0.35">
      <c r="B89" s="52" t="s">
        <v>298</v>
      </c>
      <c r="C89" s="52" t="s">
        <v>299</v>
      </c>
      <c r="D89" s="52" t="s">
        <v>56</v>
      </c>
      <c r="E89" s="86"/>
      <c r="F89" s="65" t="str">
        <f ca="1">IF(Tableau3[[#This Row],[Date d''expiration ]]&gt;TODAY()+31,"✅",IF(Tableau3[[#This Row],[Date d''expiration ]]&gt; TODAY()+1, "⚠️","⛔️"))</f>
        <v>✅</v>
      </c>
      <c r="G89" s="21">
        <f t="shared" si="43"/>
        <v>46499</v>
      </c>
      <c r="H89" s="40" t="str">
        <f ca="1">IF( Tableau3[[#This Row],[Date d''expiration ]]&gt;TODAY(),"Néant","Cas à justifier")</f>
        <v>Néant</v>
      </c>
      <c r="I89" s="21">
        <v>31818</v>
      </c>
      <c r="J89" s="75">
        <f t="shared" ca="1" si="44"/>
        <v>39.570157426420259</v>
      </c>
      <c r="K89" s="75">
        <f>YEARFRAC(I89,RG_DRH_S1_008!$E$4,1)</f>
        <v>38.887750087750085</v>
      </c>
      <c r="L89" s="75">
        <f>YEARFRAC(I89,RG_DRH_S1_008!$E$5,1)</f>
        <v>39.887748117727583</v>
      </c>
      <c r="M89" s="3" t="s">
        <v>237</v>
      </c>
      <c r="N89" s="3" t="s">
        <v>173</v>
      </c>
      <c r="O89" s="3" t="s">
        <v>268</v>
      </c>
      <c r="P89" s="42">
        <v>46188</v>
      </c>
      <c r="Q89" s="41" t="s">
        <v>47</v>
      </c>
      <c r="R89" s="76">
        <f t="shared" si="45"/>
        <v>39.342915811088297</v>
      </c>
      <c r="S89" s="19" t="str">
        <f>IF(L89&lt;40,"4",IF(L89&lt;50,"3",IF(L89&lt;55,IF(Tableau3[[#This Row],[Fonction]]="Conducteur de ligne","2","3"),"1")))</f>
        <v>4</v>
      </c>
      <c r="T89" s="6">
        <f t="shared" si="46"/>
        <v>47649</v>
      </c>
      <c r="U89" s="42">
        <v>45993</v>
      </c>
      <c r="V89" s="41" t="s">
        <v>48</v>
      </c>
      <c r="W89" s="75">
        <f t="shared" si="47"/>
        <v>38.808353808353807</v>
      </c>
      <c r="X89" s="6" t="str">
        <f>IF(L89&lt;40,"4",IF(L89&lt;55,"3",IF(Tableau3[[#This Row],[Fonction]]="conducteur de ligne","1","2")))</f>
        <v>4</v>
      </c>
      <c r="Y89" s="6">
        <f t="shared" si="48"/>
        <v>47454</v>
      </c>
      <c r="Z89" s="42">
        <v>46134</v>
      </c>
      <c r="AA89" s="3" t="str">
        <f ca="1">IF(Tableau3[[#This Row],[Date prochaine évaluation]]&gt; TODAY(),"Réussi","Examen expiré")</f>
        <v>Réussi</v>
      </c>
      <c r="AB89" s="6">
        <f t="shared" si="49"/>
        <v>46499</v>
      </c>
      <c r="AC89" s="46" t="e">
        <f t="shared" ca="1" si="50"/>
        <v>#VALUE!</v>
      </c>
      <c r="AD89" s="143"/>
    </row>
    <row r="90" spans="2:30" ht="34.5" x14ac:dyDescent="0.35">
      <c r="B90" s="41" t="s">
        <v>300</v>
      </c>
      <c r="C90" s="51" t="s">
        <v>301</v>
      </c>
      <c r="D90" s="41" t="s">
        <v>56</v>
      </c>
      <c r="E90" s="39"/>
      <c r="F90" s="65" t="str">
        <f ca="1">IF(Tableau3[[#This Row],[Date d''expiration ]]&gt;TODAY()+31,"✅",IF(Tableau3[[#This Row],[Date d''expiration ]]&gt; TODAY()+1, "⚠️","⛔️"))</f>
        <v>⚠️</v>
      </c>
      <c r="G90" s="6">
        <f>MIN(T90,Y90,AB90)</f>
        <v>46283</v>
      </c>
      <c r="H90" s="40" t="str">
        <f ca="1">IF( Tableau3[[#This Row],[Date d''expiration ]]&gt;TODAY(),"Néant","Cas à justifier")</f>
        <v>Néant</v>
      </c>
      <c r="I90" s="32">
        <v>25462</v>
      </c>
      <c r="J90" s="75">
        <f t="shared" ca="1" si="44"/>
        <v>56.973281722054381</v>
      </c>
      <c r="K90" s="75">
        <f>YEARFRAC(I90,RG_DRH_S1_008!$E$4,1)</f>
        <v>56.290888131034151</v>
      </c>
      <c r="L90" s="75">
        <f>YEARFRAC(I90,RG_DRH_S1_008!$E$5,1)</f>
        <v>57.290879909365557</v>
      </c>
      <c r="M90" s="3" t="s">
        <v>237</v>
      </c>
      <c r="N90" s="3" t="s">
        <v>80</v>
      </c>
      <c r="O90" s="3" t="s">
        <v>81</v>
      </c>
      <c r="P90" s="42">
        <v>46083</v>
      </c>
      <c r="Q90" s="41" t="s">
        <v>47</v>
      </c>
      <c r="R90" s="76">
        <f t="shared" si="45"/>
        <v>56.458553625377647</v>
      </c>
      <c r="S90" s="19" t="str">
        <f>IF(L90&lt;40,"4",IF(L90&lt;50,"3",IF(L90&lt;55,IF(Tableau3[[#This Row],[Fonction]]="Conducteur de ligne","2","3"),"1")))</f>
        <v>1</v>
      </c>
      <c r="T90" s="6">
        <f>EDATE(P90, (12*S90))</f>
        <v>46448</v>
      </c>
      <c r="U90" s="42">
        <v>45716</v>
      </c>
      <c r="V90" s="41" t="s">
        <v>48</v>
      </c>
      <c r="W90" s="75">
        <f t="shared" si="47"/>
        <v>55.453095729862142</v>
      </c>
      <c r="X90" s="6" t="str">
        <f>IF(L90&lt;40,"4",IF(L90&lt;55,"3",IF(Tableau3[[#This Row],[Fonction]]="conducteur de ligne","1","2")))</f>
        <v>2</v>
      </c>
      <c r="Y90" s="6">
        <f>EDATE(U90, (12*X90))</f>
        <v>46446</v>
      </c>
      <c r="Z90" s="42">
        <v>45918</v>
      </c>
      <c r="AA90" s="3" t="str">
        <f ca="1">IF(Tableau3[[#This Row],[Date prochaine évaluation]]&gt; TODAY(),"Réussi","Examen expiré")</f>
        <v>Réussi</v>
      </c>
      <c r="AB90" s="6">
        <f t="shared" si="49"/>
        <v>46283</v>
      </c>
      <c r="AC90" s="46" t="e">
        <f t="shared" ca="1" si="50"/>
        <v>#VALUE!</v>
      </c>
      <c r="AD90" s="143"/>
    </row>
    <row r="91" spans="2:30" ht="34.5" x14ac:dyDescent="0.35">
      <c r="B91" s="52" t="s">
        <v>302</v>
      </c>
      <c r="C91" s="52" t="s">
        <v>303</v>
      </c>
      <c r="D91" s="52" t="s">
        <v>56</v>
      </c>
      <c r="E91" s="86"/>
      <c r="F91" s="65" t="str">
        <f ca="1">IF(Tableau3[[#This Row],[Date d''expiration ]]&gt;TODAY()+31,"✅",IF(Tableau3[[#This Row],[Date d''expiration ]]&gt; TODAY()+1, "⚠️","⛔️"))</f>
        <v>✅</v>
      </c>
      <c r="G91" s="21">
        <f t="shared" si="43"/>
        <v>46408</v>
      </c>
      <c r="H91" s="40" t="str">
        <f ca="1">IF( Tableau3[[#This Row],[Date d''expiration ]]&gt;TODAY(),"Néant","Cas à justifier")</f>
        <v>Néant</v>
      </c>
      <c r="I91" s="21">
        <v>31959</v>
      </c>
      <c r="J91" s="75">
        <f t="shared" ca="1" si="44"/>
        <v>39.184120465434631</v>
      </c>
      <c r="K91" s="75">
        <f>YEARFRAC(I91,RG_DRH_S1_008!$E$4,1)</f>
        <v>38.501719901719902</v>
      </c>
      <c r="L91" s="75">
        <f>YEARFRAC(I91,RG_DRH_S1_008!$E$5,1)</f>
        <v>39.501711156741955</v>
      </c>
      <c r="M91" s="3" t="s">
        <v>237</v>
      </c>
      <c r="N91" s="3" t="s">
        <v>80</v>
      </c>
      <c r="O91" s="3" t="s">
        <v>81</v>
      </c>
      <c r="P91" s="42">
        <v>45679</v>
      </c>
      <c r="Q91" s="41" t="s">
        <v>47</v>
      </c>
      <c r="R91" s="76">
        <f t="shared" si="45"/>
        <v>37.562653562653558</v>
      </c>
      <c r="S91" s="19" t="str">
        <f>IF(L91&lt;40,"4",IF(L91&lt;50,"3",IF(L91&lt;55,IF(Tableau3[[#This Row],[Fonction]]="Conducteur de ligne","2","3"),"1")))</f>
        <v>4</v>
      </c>
      <c r="T91" s="6">
        <f t="shared" si="46"/>
        <v>47140</v>
      </c>
      <c r="U91" s="42">
        <v>45730</v>
      </c>
      <c r="V91" s="41" t="s">
        <v>48</v>
      </c>
      <c r="W91" s="75">
        <f t="shared" si="47"/>
        <v>37.702281502281501</v>
      </c>
      <c r="X91" s="6" t="str">
        <f>IF(L91&lt;40,"4",IF(L91&lt;55,"3",IF(Tableau3[[#This Row],[Fonction]]="conducteur de ligne","1","2")))</f>
        <v>4</v>
      </c>
      <c r="Y91" s="6">
        <f t="shared" si="48"/>
        <v>47191</v>
      </c>
      <c r="Z91" s="42">
        <v>46043</v>
      </c>
      <c r="AA91" s="3" t="str">
        <f ca="1">IF(Tableau3[[#This Row],[Date prochaine évaluation]]&gt; TODAY(),"Réussi","Examen expiré")</f>
        <v>Réussi</v>
      </c>
      <c r="AB91" s="6">
        <f t="shared" si="49"/>
        <v>46408</v>
      </c>
      <c r="AC91" s="46" t="e">
        <f t="shared" ca="1" si="50"/>
        <v>#VALUE!</v>
      </c>
      <c r="AD91" s="143"/>
    </row>
    <row r="92" spans="2:30" ht="34.5" x14ac:dyDescent="0.35">
      <c r="B92" s="41" t="s">
        <v>304</v>
      </c>
      <c r="C92" s="51" t="s">
        <v>305</v>
      </c>
      <c r="D92" s="41" t="s">
        <v>56</v>
      </c>
      <c r="E92" s="39"/>
      <c r="F92" s="65" t="str">
        <f ca="1">IF(Tableau3[[#This Row],[Date d''expiration ]]&gt;TODAY()+31,"✅",IF(Tableau3[[#This Row],[Date d''expiration ]]&gt; TODAY()+1, "⚠️","⛔️"))</f>
        <v>⚠️</v>
      </c>
      <c r="G92" s="6">
        <f t="shared" si="43"/>
        <v>46298</v>
      </c>
      <c r="H92" s="109"/>
      <c r="I92" s="32">
        <v>30029</v>
      </c>
      <c r="J92" s="75">
        <f t="shared" ca="1" si="44"/>
        <v>44.468848868337794</v>
      </c>
      <c r="K92" s="75">
        <f>YEARFRAC(I92,RG_DRH_S1_008!$E$4,1)</f>
        <v>43.786447638603697</v>
      </c>
      <c r="L92" s="75">
        <f>YEARFRAC(I92,RG_DRH_S1_008!$E$5,1)</f>
        <v>44.786444390362618</v>
      </c>
      <c r="M92" s="3" t="s">
        <v>237</v>
      </c>
      <c r="N92" s="3" t="s">
        <v>80</v>
      </c>
      <c r="O92" s="3" t="s">
        <v>81</v>
      </c>
      <c r="P92" s="42">
        <v>45202</v>
      </c>
      <c r="Q92" s="41" t="s">
        <v>47</v>
      </c>
      <c r="R92" s="76">
        <f t="shared" si="45"/>
        <v>41.542764015645375</v>
      </c>
      <c r="S92" s="19" t="str">
        <f>IF(L92&lt;40,"4",IF(L92&lt;50,"3",IF(L92&lt;55,IF(Tableau3[[#This Row],[Fonction]]="Conducteur de ligne","2","3"),"1")))</f>
        <v>3</v>
      </c>
      <c r="T92" s="6">
        <f t="shared" si="46"/>
        <v>46298</v>
      </c>
      <c r="U92" s="42">
        <v>45727</v>
      </c>
      <c r="V92" s="41" t="s">
        <v>48</v>
      </c>
      <c r="W92" s="75">
        <f t="shared" si="47"/>
        <v>42.978781656399725</v>
      </c>
      <c r="X92" s="6" t="str">
        <f>IF(L92&lt;40,"4",IF(L92&lt;55,"3",IF(Tableau3[[#This Row],[Fonction]]="conducteur de ligne","1","2")))</f>
        <v>3</v>
      </c>
      <c r="Y92" s="6">
        <f t="shared" si="48"/>
        <v>46823</v>
      </c>
      <c r="Z92" s="42">
        <v>45939</v>
      </c>
      <c r="AA92" s="3" t="str">
        <f ca="1">IF(Tableau3[[#This Row],[Date prochaine évaluation]]&gt; TODAY(),"Réussi","Examen expiré")</f>
        <v>Réussi</v>
      </c>
      <c r="AB92" s="6">
        <f t="shared" si="49"/>
        <v>46304</v>
      </c>
      <c r="AC92" s="46" t="e">
        <f t="shared" ca="1" si="50"/>
        <v>#VALUE!</v>
      </c>
      <c r="AD92" s="143"/>
    </row>
    <row r="93" spans="2:30" ht="64" x14ac:dyDescent="0.35">
      <c r="B93" s="52" t="s">
        <v>306</v>
      </c>
      <c r="C93" s="52" t="s">
        <v>307</v>
      </c>
      <c r="D93" s="52" t="s">
        <v>56</v>
      </c>
      <c r="E93" s="86"/>
      <c r="F93" s="65" t="str">
        <f ca="1">IF(Tableau3[[#This Row],[Date d''expiration ]]&gt;TODAY()+31,"✅",IF(Tableau3[[#This Row],[Date d''expiration ]]&gt; TODAY()+1, "⚠️","⛔️"))</f>
        <v>✅</v>
      </c>
      <c r="G93" s="21">
        <f t="shared" si="43"/>
        <v>46510</v>
      </c>
      <c r="H93" s="40" t="str">
        <f ca="1">IF( Tableau3[[#This Row],[Date d''expiration ]]&gt;TODAY(),"Néant","Cas à justifier")</f>
        <v>Néant</v>
      </c>
      <c r="I93" s="21">
        <v>35437</v>
      </c>
      <c r="J93" s="75">
        <f t="shared" ca="1" si="44"/>
        <v>29.663228986036323</v>
      </c>
      <c r="K93" s="75">
        <f>YEARFRAC(I93,RG_DRH_S1_008!$E$4,1)</f>
        <v>28.980834592145015</v>
      </c>
      <c r="L93" s="75">
        <f>YEARFRAC(I93,RG_DRH_S1_008!$E$5,1)</f>
        <v>29.980834169937026</v>
      </c>
      <c r="M93" s="3" t="s">
        <v>237</v>
      </c>
      <c r="N93" s="3" t="s">
        <v>173</v>
      </c>
      <c r="O93" s="3" t="s">
        <v>73</v>
      </c>
      <c r="P93" s="42">
        <v>46182</v>
      </c>
      <c r="Q93" s="41" t="s">
        <v>47</v>
      </c>
      <c r="R93" s="76">
        <f t="shared" si="45"/>
        <v>29.419549146664231</v>
      </c>
      <c r="S93" s="19" t="str">
        <f>IF(L93&lt;40,"4",IF(L93&lt;50,"3",IF(L93&lt;55,IF(Tableau3[[#This Row],[Fonction]]="Conducteur de ligne","2","3"),"1")))</f>
        <v>4</v>
      </c>
      <c r="T93" s="6">
        <f t="shared" si="46"/>
        <v>47643</v>
      </c>
      <c r="U93" s="42">
        <v>45728</v>
      </c>
      <c r="V93" s="41" t="s">
        <v>48</v>
      </c>
      <c r="W93" s="75">
        <f t="shared" si="47"/>
        <v>28.17588746223565</v>
      </c>
      <c r="X93" s="6" t="str">
        <f>IF(L93&lt;40,"4",IF(L93&lt;55,"3",IF(Tableau3[[#This Row],[Fonction]]="conducteur de ligne","1","2")))</f>
        <v>4</v>
      </c>
      <c r="Y93" s="6">
        <f t="shared" si="48"/>
        <v>47189</v>
      </c>
      <c r="Z93" s="42">
        <v>46145</v>
      </c>
      <c r="AA93" s="3" t="str">
        <f ca="1">IF(Tableau3[[#This Row],[Date prochaine évaluation]]&gt; TODAY(),"Réussi","Examen expiré")</f>
        <v>Réussi</v>
      </c>
      <c r="AB93" s="6">
        <f t="shared" si="49"/>
        <v>46510</v>
      </c>
      <c r="AC93" s="46" t="e">
        <f t="shared" ca="1" si="50"/>
        <v>#VALUE!</v>
      </c>
      <c r="AD93" s="143"/>
    </row>
    <row r="94" spans="2:30" ht="64" x14ac:dyDescent="0.35">
      <c r="B94" s="41" t="s">
        <v>308</v>
      </c>
      <c r="C94" s="51" t="s">
        <v>309</v>
      </c>
      <c r="D94" s="41" t="s">
        <v>56</v>
      </c>
      <c r="E94" s="39"/>
      <c r="F94" s="65" t="str">
        <f ca="1">IF(Tableau3[[#This Row],[Date d''expiration ]]&gt;TODAY()+31,"✅",IF(Tableau3[[#This Row],[Date d''expiration ]]&gt; TODAY()+1, "⚠️","⛔️"))</f>
        <v>⛔️</v>
      </c>
      <c r="G94" s="6">
        <f t="shared" si="43"/>
        <v>46272</v>
      </c>
      <c r="H94" s="40" t="str">
        <f ca="1">IF( Tableau3[[#This Row],[Date d''expiration ]]&gt;TODAY(),"Néant","Cas à justifier")</f>
        <v>Néant</v>
      </c>
      <c r="I94" s="32">
        <v>25448</v>
      </c>
      <c r="J94" s="75">
        <f t="shared" ca="1" si="44"/>
        <v>57.01161253776435</v>
      </c>
      <c r="K94" s="75">
        <f>YEARFRAC(I94,RG_DRH_S1_008!$E$4,1)</f>
        <v>56.329218502329603</v>
      </c>
      <c r="L94" s="75">
        <f>YEARFRAC(I94,RG_DRH_S1_008!$E$5,1)</f>
        <v>57.329210725075527</v>
      </c>
      <c r="M94" s="3" t="s">
        <v>237</v>
      </c>
      <c r="N94" s="3" t="s">
        <v>173</v>
      </c>
      <c r="O94" s="3" t="s">
        <v>73</v>
      </c>
      <c r="P94" s="42">
        <v>46133</v>
      </c>
      <c r="Q94" s="41" t="s">
        <v>47</v>
      </c>
      <c r="R94" s="76">
        <f t="shared" si="45"/>
        <v>56.633780211480364</v>
      </c>
      <c r="S94" s="19" t="str">
        <f>IF(L94&lt;40,"4",IF(L94&lt;50,"3",IF(L94&lt;55,IF(Tableau3[[#This Row],[Fonction]]="Conducteur de ligne","2","3"),"1")))</f>
        <v>1</v>
      </c>
      <c r="T94" s="6">
        <f t="shared" si="46"/>
        <v>46498</v>
      </c>
      <c r="U94" s="42">
        <v>46129</v>
      </c>
      <c r="V94" s="41" t="s">
        <v>48</v>
      </c>
      <c r="W94" s="75">
        <f t="shared" si="47"/>
        <v>56.62282854984894</v>
      </c>
      <c r="X94" s="6" t="str">
        <f>IF(L94&lt;40,"4",IF(L94&lt;55,"3",IF(Tableau3[[#This Row],[Fonction]]="conducteur de ligne","1","2")))</f>
        <v>2</v>
      </c>
      <c r="Y94" s="6">
        <f t="shared" si="48"/>
        <v>46860</v>
      </c>
      <c r="Z94" s="42">
        <v>45907</v>
      </c>
      <c r="AA94" s="3" t="str">
        <f ca="1">IF(Tableau3[[#This Row],[Date prochaine évaluation]]&gt; TODAY(),"Réussi","Examen expiré")</f>
        <v>Réussi</v>
      </c>
      <c r="AB94" s="6">
        <f t="shared" si="49"/>
        <v>46272</v>
      </c>
      <c r="AC94" s="46" t="e">
        <f t="shared" ca="1" si="50"/>
        <v>#VALUE!</v>
      </c>
      <c r="AD94" s="143"/>
    </row>
    <row r="95" spans="2:30" ht="48" x14ac:dyDescent="0.35">
      <c r="B95" s="52" t="s">
        <v>310</v>
      </c>
      <c r="C95" s="52" t="s">
        <v>311</v>
      </c>
      <c r="D95" s="52" t="s">
        <v>56</v>
      </c>
      <c r="E95" s="86"/>
      <c r="F95" s="65" t="str">
        <f ca="1">IF(Tableau3[[#This Row],[Date d''expiration ]]&gt;TODAY()+31,"✅",IF(Tableau3[[#This Row],[Date d''expiration ]]&gt; TODAY()+1, "⚠️","⛔️"))</f>
        <v>⚠️</v>
      </c>
      <c r="G95" s="21">
        <f t="shared" si="43"/>
        <v>46278</v>
      </c>
      <c r="H95" s="40" t="str">
        <f ca="1">IF( Tableau3[[#This Row],[Date d''expiration ]]&gt;TODAY(),"Néant","Cas à justifier")</f>
        <v>Néant</v>
      </c>
      <c r="I95" s="21">
        <v>36609</v>
      </c>
      <c r="J95" s="75">
        <f t="shared" ca="1" si="44"/>
        <v>26.452443723382682</v>
      </c>
      <c r="K95" s="75">
        <f>YEARFRAC(I95,RG_DRH_S1_008!$E$4,1)</f>
        <v>25.77003264188691</v>
      </c>
      <c r="L95" s="75">
        <f>YEARFRAC(I95,RG_DRH_S1_008!$E$5,1)</f>
        <v>26.770026363820726</v>
      </c>
      <c r="M95" s="3" t="s">
        <v>237</v>
      </c>
      <c r="N95" s="3" t="s">
        <v>173</v>
      </c>
      <c r="O95" s="3" t="s">
        <v>268</v>
      </c>
      <c r="P95" s="42">
        <v>45260</v>
      </c>
      <c r="Q95" s="41" t="s">
        <v>47</v>
      </c>
      <c r="R95" s="76">
        <f t="shared" si="45"/>
        <v>23.685147159479808</v>
      </c>
      <c r="S95" s="19" t="str">
        <f>IF(L95&lt;40,"4",IF(L95&lt;50,"3",IF(L95&lt;55,IF(Tableau3[[#This Row],[Fonction]]="Conducteur de ligne","2","3"),"1")))</f>
        <v>4</v>
      </c>
      <c r="T95" s="6">
        <f t="shared" si="46"/>
        <v>46721</v>
      </c>
      <c r="U95" s="42">
        <v>44817</v>
      </c>
      <c r="V95" s="41" t="s">
        <v>48</v>
      </c>
      <c r="W95" s="75">
        <f t="shared" si="47"/>
        <v>22.471610522556841</v>
      </c>
      <c r="X95" s="6" t="str">
        <f>IF(L95&lt;40,"4",IF(L95&lt;55,"3",IF(Tableau3[[#This Row],[Fonction]]="conducteur de ligne","1","2")))</f>
        <v>4</v>
      </c>
      <c r="Y95" s="6">
        <f t="shared" si="48"/>
        <v>46278</v>
      </c>
      <c r="Z95" s="42">
        <v>46129</v>
      </c>
      <c r="AA95" s="3" t="str">
        <f ca="1">IF(Tableau3[[#This Row],[Date prochaine évaluation]]&gt; TODAY(),"Réussi","Examen expiré")</f>
        <v>Réussi</v>
      </c>
      <c r="AB95" s="6">
        <f t="shared" si="49"/>
        <v>46494</v>
      </c>
      <c r="AC95" s="46" t="e">
        <f t="shared" ca="1" si="50"/>
        <v>#VALUE!</v>
      </c>
      <c r="AD95" s="143"/>
    </row>
    <row r="96" spans="2:30" ht="34.5" hidden="1" x14ac:dyDescent="0.35">
      <c r="B96" s="41" t="s">
        <v>312</v>
      </c>
      <c r="C96" s="51" t="s">
        <v>313</v>
      </c>
      <c r="D96" s="41" t="s">
        <v>56</v>
      </c>
      <c r="E96" s="40">
        <v>45841</v>
      </c>
      <c r="F96" s="65" t="str">
        <f ca="1">IF(Tableau3[[#This Row],[Date d''expiration ]]&gt;TODAY()+31,"✅",IF(Tableau3[[#This Row],[Date d''expiration ]]&gt; TODAY()+1, "⚠️","⛔️"))</f>
        <v>✅</v>
      </c>
      <c r="G96" s="6">
        <f t="shared" si="43"/>
        <v>46564</v>
      </c>
      <c r="H96" s="40" t="str">
        <f ca="1">IF( Tableau3[[#This Row],[Date d''expiration ]]&gt;TODAY(),"Néant","Cas à justifier")</f>
        <v>Néant</v>
      </c>
      <c r="I96" s="32">
        <v>34853</v>
      </c>
      <c r="J96" s="75">
        <f t="shared" ca="1" si="44"/>
        <v>31.260780287474333</v>
      </c>
      <c r="K96" s="75">
        <f>YEARFRAC(I96,RG_DRH_S1_008!$E$4,1)</f>
        <v>30.578380287909564</v>
      </c>
      <c r="L96" s="75">
        <f>YEARFRAC(I96,RG_DRH_S1_008!$E$5,1)</f>
        <v>31.578370978781656</v>
      </c>
      <c r="M96" s="3" t="s">
        <v>44</v>
      </c>
      <c r="N96" s="3" t="s">
        <v>314</v>
      </c>
      <c r="O96" s="3" t="s">
        <v>314</v>
      </c>
      <c r="P96" s="42">
        <v>45191</v>
      </c>
      <c r="Q96" s="41" t="s">
        <v>47</v>
      </c>
      <c r="R96" s="76">
        <f t="shared" si="45"/>
        <v>28.304569486404834</v>
      </c>
      <c r="S96" s="19" t="str">
        <f>IF(L96&lt;40,"4",IF(L96&lt;50,"3",IF(L96&lt;55,IF(Tableau3[[#This Row],[Fonction]]="Conducteur de ligne","2","3"),"1")))</f>
        <v>4</v>
      </c>
      <c r="T96" s="6">
        <f t="shared" si="46"/>
        <v>46652</v>
      </c>
      <c r="U96" s="42">
        <v>45729</v>
      </c>
      <c r="V96" s="41" t="s">
        <v>48</v>
      </c>
      <c r="W96" s="75">
        <f t="shared" si="47"/>
        <v>29.776207718802439</v>
      </c>
      <c r="X96" s="6" t="str">
        <f>IF(L96&lt;40,"4",IF(L96&lt;55,"3",IF(Tableau3[[#This Row],[Fonction]]="conducteur de ligne","1","2")))</f>
        <v>4</v>
      </c>
      <c r="Y96" s="6">
        <f t="shared" si="48"/>
        <v>47190</v>
      </c>
      <c r="Z96" s="42">
        <v>46199</v>
      </c>
      <c r="AA96" s="3" t="str">
        <f ca="1">IF(Tableau3[[#This Row],[Date prochaine évaluation]]&gt; TODAY(),"Réussi","Examen expiré")</f>
        <v>Réussi</v>
      </c>
      <c r="AB96" s="6">
        <f t="shared" si="49"/>
        <v>46564</v>
      </c>
      <c r="AC96" s="46" t="e">
        <f t="shared" ca="1" si="50"/>
        <v>#VALUE!</v>
      </c>
      <c r="AD96" s="143"/>
    </row>
    <row r="97" spans="2:30" ht="34.5" x14ac:dyDescent="0.35">
      <c r="B97" s="52" t="s">
        <v>315</v>
      </c>
      <c r="C97" s="50" t="s">
        <v>316</v>
      </c>
      <c r="D97" s="52" t="s">
        <v>56</v>
      </c>
      <c r="E97" s="86"/>
      <c r="F97" s="65" t="str">
        <f ca="1">IF(Tableau3[[#This Row],[Date d''expiration ]]&gt;TODAY()+31,"✅",IF(Tableau3[[#This Row],[Date d''expiration ]]&gt; TODAY()+1, "⚠️","⛔️"))</f>
        <v>✅</v>
      </c>
      <c r="G97" s="21">
        <f t="shared" si="43"/>
        <v>46564</v>
      </c>
      <c r="H97" s="40" t="str">
        <f ca="1">IF( Tableau3[[#This Row],[Date d''expiration ]]&gt;TODAY(),"Néant","Cas à justifier")</f>
        <v>Néant</v>
      </c>
      <c r="I97" s="20">
        <v>36429</v>
      </c>
      <c r="J97" s="75">
        <f t="shared" ca="1" si="44"/>
        <v>26.945927446954141</v>
      </c>
      <c r="K97" s="75">
        <f>YEARFRAC(I97,RG_DRH_S1_008!$E$4,1)</f>
        <v>26.263536807949709</v>
      </c>
      <c r="L97" s="75">
        <f>YEARFRAC(I97,RG_DRH_S1_008!$E$5,1)</f>
        <v>27.263518138261464</v>
      </c>
      <c r="M97" s="3" t="s">
        <v>237</v>
      </c>
      <c r="N97" s="3" t="s">
        <v>80</v>
      </c>
      <c r="O97" s="3" t="s">
        <v>81</v>
      </c>
      <c r="P97" s="42">
        <v>45608</v>
      </c>
      <c r="Q97" s="41" t="s">
        <v>47</v>
      </c>
      <c r="R97" s="76">
        <f t="shared" si="45"/>
        <v>25.129409287143307</v>
      </c>
      <c r="S97" s="19" t="str">
        <f>IF(L97&lt;40,"4",IF(L97&lt;50,"3",IF(L97&lt;55,IF(Tableau3[[#This Row],[Fonction]]="Conducteur de ligne","2","3"),"1")))</f>
        <v>4</v>
      </c>
      <c r="T97" s="6">
        <f t="shared" si="46"/>
        <v>47069</v>
      </c>
      <c r="U97" s="42">
        <v>45251</v>
      </c>
      <c r="V97" s="41" t="s">
        <v>48</v>
      </c>
      <c r="W97" s="75">
        <f t="shared" si="47"/>
        <v>24.153980944036796</v>
      </c>
      <c r="X97" s="6" t="str">
        <f>IF(L97&lt;40,"4",IF(L97&lt;55,"3",IF(Tableau3[[#This Row],[Fonction]]="conducteur de ligne","1","2")))</f>
        <v>4</v>
      </c>
      <c r="Y97" s="6">
        <f t="shared" si="48"/>
        <v>46712</v>
      </c>
      <c r="Z97" s="42">
        <v>46199</v>
      </c>
      <c r="AA97" s="3" t="str">
        <f ca="1">IF(Tableau3[[#This Row],[Date prochaine évaluation]]&gt; TODAY(),"Réussi","Examen expiré")</f>
        <v>Réussi</v>
      </c>
      <c r="AB97" s="6">
        <f t="shared" si="49"/>
        <v>46564</v>
      </c>
      <c r="AC97" s="46" t="e">
        <f t="shared" ca="1" si="50"/>
        <v>#VALUE!</v>
      </c>
      <c r="AD97" s="143"/>
    </row>
    <row r="98" spans="2:30" ht="48" x14ac:dyDescent="0.35">
      <c r="B98" s="41" t="s">
        <v>317</v>
      </c>
      <c r="C98" s="51" t="s">
        <v>318</v>
      </c>
      <c r="D98" s="41" t="s">
        <v>56</v>
      </c>
      <c r="E98" s="39"/>
      <c r="F98" s="65" t="str">
        <f ca="1">IF(Tableau3[[#This Row],[Date d''expiration ]]&gt;TODAY()+31,"✅",IF(Tableau3[[#This Row],[Date d''expiration ]]&gt; TODAY()+1, "⚠️","⛔️"))</f>
        <v>✅</v>
      </c>
      <c r="G98" s="6">
        <f t="shared" si="43"/>
        <v>46587</v>
      </c>
      <c r="H98" s="40" t="str">
        <f ca="1">IF( Tableau3[[#This Row],[Date d''expiration ]]&gt;TODAY(),"Néant","Cas à justifier")</f>
        <v>Néant</v>
      </c>
      <c r="I98" s="32">
        <v>37080</v>
      </c>
      <c r="J98" s="75">
        <f t="shared" ca="1" si="44"/>
        <v>25.16491154170177</v>
      </c>
      <c r="K98" s="75">
        <f>YEARFRAC(I98,RG_DRH_S1_008!$E$4,1)</f>
        <v>24.482532033731246</v>
      </c>
      <c r="L98" s="75">
        <f>YEARFRAC(I98,RG_DRH_S1_008!$E$5,1)</f>
        <v>25.482518955349622</v>
      </c>
      <c r="M98" s="3" t="s">
        <v>237</v>
      </c>
      <c r="N98" s="3" t="s">
        <v>173</v>
      </c>
      <c r="O98" s="3" t="s">
        <v>268</v>
      </c>
      <c r="P98" s="42">
        <v>45531</v>
      </c>
      <c r="Q98" s="41" t="s">
        <v>47</v>
      </c>
      <c r="R98" s="76">
        <f t="shared" si="45"/>
        <v>23.137577002053387</v>
      </c>
      <c r="S98" s="19" t="str">
        <f>IF(L98&lt;40,"4",IF(L98&lt;50,"3",IF(L98&lt;55,IF(Tableau3[[#This Row],[Fonction]]="Conducteur de ligne","2","3"),"1")))</f>
        <v>4</v>
      </c>
      <c r="T98" s="6">
        <f t="shared" si="46"/>
        <v>46992</v>
      </c>
      <c r="U98" s="42">
        <v>45259</v>
      </c>
      <c r="V98" s="41" t="s">
        <v>48</v>
      </c>
      <c r="W98" s="75">
        <f t="shared" si="47"/>
        <v>22.394880952380952</v>
      </c>
      <c r="X98" s="6" t="str">
        <f>IF(L98&lt;40,"4",IF(L98&lt;55,"3",IF(Tableau3[[#This Row],[Fonction]]="conducteur de ligne","1","2")))</f>
        <v>4</v>
      </c>
      <c r="Y98" s="6">
        <f t="shared" si="48"/>
        <v>46720</v>
      </c>
      <c r="Z98" s="42">
        <v>46222</v>
      </c>
      <c r="AA98" s="3" t="str">
        <f ca="1">IF(Tableau3[[#This Row],[Date prochaine évaluation]]&gt; TODAY(),"Réussi","Examen expiré")</f>
        <v>Réussi</v>
      </c>
      <c r="AB98" s="6">
        <f>EDATE(Z98, 12)</f>
        <v>46587</v>
      </c>
      <c r="AC98" s="46" t="e">
        <f t="shared" ca="1" si="50"/>
        <v>#VALUE!</v>
      </c>
      <c r="AD98" s="143"/>
    </row>
    <row r="99" spans="2:30" ht="48" x14ac:dyDescent="0.35">
      <c r="B99" s="52" t="s">
        <v>319</v>
      </c>
      <c r="C99" s="50" t="s">
        <v>320</v>
      </c>
      <c r="D99" s="52" t="s">
        <v>56</v>
      </c>
      <c r="E99" s="86"/>
      <c r="F99" s="65" t="str">
        <f ca="1">IF(Tableau3[[#This Row],[Date d''expiration ]]&gt;TODAY()+31,"✅",IF(Tableau3[[#This Row],[Date d''expiration ]]&gt; TODAY()+1, "⚠️","⛔️"))</f>
        <v>⛔️</v>
      </c>
      <c r="G99" s="21">
        <f t="shared" si="43"/>
        <v>46239</v>
      </c>
      <c r="H99" s="40" t="str">
        <f ca="1">IF( Tableau3[[#This Row],[Date d''expiration ]]&gt;TODAY(),"Néant","Cas à justifier")</f>
        <v>Cas à justifier</v>
      </c>
      <c r="I99" s="20">
        <v>36876</v>
      </c>
      <c r="J99" s="75">
        <f t="shared" ca="1" si="44"/>
        <v>25.72145609409856</v>
      </c>
      <c r="K99" s="75">
        <f>YEARFRAC(I99,RG_DRH_S1_008!$E$4,1)</f>
        <v>25.039064967884595</v>
      </c>
      <c r="L99" s="75">
        <f>YEARFRAC(I99,RG_DRH_S1_008!$E$5,1)</f>
        <v>26.039038734536607</v>
      </c>
      <c r="M99" s="3" t="s">
        <v>237</v>
      </c>
      <c r="N99" s="3" t="s">
        <v>173</v>
      </c>
      <c r="O99" s="3" t="s">
        <v>268</v>
      </c>
      <c r="P99" s="42">
        <v>45617</v>
      </c>
      <c r="Q99" s="41" t="s">
        <v>47</v>
      </c>
      <c r="R99" s="76">
        <f t="shared" si="45"/>
        <v>23.929588261060012</v>
      </c>
      <c r="S99" s="19" t="str">
        <f>IF(L99&lt;40,"4",IF(L99&lt;50,"3",IF(L99&lt;55,IF(Tableau3[[#This Row],[Fonction]]="Conducteur de ligne","2","3"),"1")))</f>
        <v>4</v>
      </c>
      <c r="T99" s="6">
        <f t="shared" si="46"/>
        <v>47078</v>
      </c>
      <c r="U99" s="42">
        <v>45259</v>
      </c>
      <c r="V99" s="41" t="s">
        <v>48</v>
      </c>
      <c r="W99" s="75">
        <f t="shared" si="47"/>
        <v>22.951403148528406</v>
      </c>
      <c r="X99" s="6" t="str">
        <f>IF(L99&lt;40,"4",IF(L99&lt;55,"3",IF(Tableau3[[#This Row],[Fonction]]="conducteur de ligne","1","2")))</f>
        <v>4</v>
      </c>
      <c r="Y99" s="6">
        <f t="shared" si="48"/>
        <v>46720</v>
      </c>
      <c r="Z99" s="42">
        <v>45874</v>
      </c>
      <c r="AA99" s="3" t="str">
        <f ca="1">IF(Tableau3[[#This Row],[Date prochaine évaluation]]&gt; TODAY(),"Réussi","Examen expiré")</f>
        <v>Examen expiré</v>
      </c>
      <c r="AB99" s="6">
        <f t="shared" si="49"/>
        <v>46239</v>
      </c>
      <c r="AC99" s="46" t="e">
        <f t="shared" ca="1" si="50"/>
        <v>#VALUE!</v>
      </c>
      <c r="AD99" s="143"/>
    </row>
    <row r="100" spans="2:30" ht="48" x14ac:dyDescent="0.35">
      <c r="B100" s="41" t="s">
        <v>321</v>
      </c>
      <c r="C100" s="51" t="s">
        <v>322</v>
      </c>
      <c r="D100" s="41" t="s">
        <v>56</v>
      </c>
      <c r="E100" s="39"/>
      <c r="F100" s="65" t="str">
        <f ca="1">IF(Tableau3[[#This Row],[Date d''expiration ]]&gt;TODAY()+31,"✅",IF(Tableau3[[#This Row],[Date d''expiration ]]&gt; TODAY()+1, "⚠️","⛔️"))</f>
        <v>⛔️</v>
      </c>
      <c r="G100" s="6">
        <f t="shared" si="43"/>
        <v>46267</v>
      </c>
      <c r="H100" s="40" t="str">
        <f ca="1">IF( Tableau3[[#This Row],[Date d''expiration ]]&gt;TODAY(),"Néant","Cas à justifier")</f>
        <v>Cas à justifier</v>
      </c>
      <c r="I100" s="32">
        <v>36464</v>
      </c>
      <c r="J100" s="75">
        <f t="shared" ca="1" si="44"/>
        <v>26.850102669404517</v>
      </c>
      <c r="K100" s="75">
        <f>YEARFRAC(I100,RG_DRH_S1_008!$E$4,1)</f>
        <v>26.167714459541678</v>
      </c>
      <c r="L100" s="75">
        <f>YEARFRAC(I100,RG_DRH_S1_008!$E$5,1)</f>
        <v>27.167693360711841</v>
      </c>
      <c r="M100" s="3" t="s">
        <v>237</v>
      </c>
      <c r="N100" s="3" t="s">
        <v>173</v>
      </c>
      <c r="O100" s="3" t="s">
        <v>268</v>
      </c>
      <c r="P100" s="42">
        <v>45607</v>
      </c>
      <c r="Q100" s="41" t="s">
        <v>47</v>
      </c>
      <c r="R100" s="76">
        <f t="shared" si="45"/>
        <v>25.030851847951986</v>
      </c>
      <c r="S100" s="19" t="str">
        <f>IF(L100&lt;40,"4",IF(L100&lt;50,"3",IF(L100&lt;55,IF(Tableau3[[#This Row],[Fonction]]="Conducteur de ligne","2","3"),"1")))</f>
        <v>4</v>
      </c>
      <c r="T100" s="6">
        <f t="shared" si="46"/>
        <v>47068</v>
      </c>
      <c r="U100" s="42">
        <v>45247</v>
      </c>
      <c r="V100" s="41" t="s">
        <v>48</v>
      </c>
      <c r="W100" s="75">
        <f t="shared" si="47"/>
        <v>24.047201839886103</v>
      </c>
      <c r="X100" s="6" t="str">
        <f>IF(L100&lt;40,"4",IF(L100&lt;55,"3",IF(Tableau3[[#This Row],[Fonction]]="conducteur de ligne","1","2")))</f>
        <v>4</v>
      </c>
      <c r="Y100" s="6">
        <f t="shared" si="48"/>
        <v>46708</v>
      </c>
      <c r="Z100" s="42">
        <v>45902</v>
      </c>
      <c r="AA100" s="3" t="str">
        <f ca="1">IF(Tableau3[[#This Row],[Date prochaine évaluation]]&gt; TODAY(),"Réussi","Examen expiré")</f>
        <v>Examen expiré</v>
      </c>
      <c r="AB100" s="6">
        <f t="shared" si="49"/>
        <v>46267</v>
      </c>
      <c r="AC100" s="46" t="e">
        <f t="shared" ca="1" si="50"/>
        <v>#VALUE!</v>
      </c>
      <c r="AD100" s="143"/>
    </row>
    <row r="101" spans="2:30" ht="58" x14ac:dyDescent="0.35">
      <c r="B101" s="52" t="s">
        <v>323</v>
      </c>
      <c r="C101" s="50" t="s">
        <v>324</v>
      </c>
      <c r="D101" s="52" t="s">
        <v>56</v>
      </c>
      <c r="E101" s="86"/>
      <c r="F101" s="65" t="str">
        <f ca="1">IF(Tableau3[[#This Row],[Date d''expiration ]]&gt;TODAY()+31,"✅",IF(Tableau3[[#This Row],[Date d''expiration ]]&gt; TODAY()+1, "⚠️","⛔️"))</f>
        <v>⛔️</v>
      </c>
      <c r="G101" s="21">
        <f t="shared" si="43"/>
        <v>3461</v>
      </c>
      <c r="H101" s="142" t="s">
        <v>325</v>
      </c>
      <c r="I101" s="20">
        <v>35336</v>
      </c>
      <c r="J101" s="75">
        <f t="shared" ca="1" si="44"/>
        <v>29.937737348759164</v>
      </c>
      <c r="K101" s="75">
        <f>YEARFRAC(I101,RG_DRH_S1_008!$E$4,1)</f>
        <v>29.25533856543165</v>
      </c>
      <c r="L101" s="75">
        <f>YEARFRAC(I101,RG_DRH_S1_008!$E$5,1)</f>
        <v>30.255321027996114</v>
      </c>
      <c r="M101" s="3" t="s">
        <v>237</v>
      </c>
      <c r="N101" s="3" t="s">
        <v>80</v>
      </c>
      <c r="O101" s="3" t="s">
        <v>81</v>
      </c>
      <c r="P101" s="42">
        <v>2000</v>
      </c>
      <c r="Q101" s="41" t="s">
        <v>47</v>
      </c>
      <c r="R101" s="76">
        <f t="shared" si="45"/>
        <v>91.26899383983573</v>
      </c>
      <c r="S101" s="19" t="str">
        <f>IF(L101&lt;40,"4",IF(L101&lt;50,"3",IF(L101&lt;55,IF(Tableau3[[#This Row],[Fonction]]="Conducteur de ligne","2","3"),"1")))</f>
        <v>4</v>
      </c>
      <c r="T101" s="6">
        <f t="shared" si="46"/>
        <v>3461</v>
      </c>
      <c r="U101" s="42">
        <v>45252</v>
      </c>
      <c r="V101" s="41" t="s">
        <v>48</v>
      </c>
      <c r="W101" s="75">
        <f t="shared" si="47"/>
        <v>27.148528405201915</v>
      </c>
      <c r="X101" s="6" t="str">
        <f>IF(L101&lt;40,"4",IF(L101&lt;55,"3",IF(Tableau3[[#This Row],[Fonction]]="conducteur de ligne","1","2")))</f>
        <v>4</v>
      </c>
      <c r="Y101" s="6">
        <f t="shared" si="48"/>
        <v>46713</v>
      </c>
      <c r="Z101" s="42">
        <v>45849</v>
      </c>
      <c r="AA101" s="3" t="str">
        <f ca="1">IF(Tableau3[[#This Row],[Date prochaine évaluation]]&gt; TODAY(),"Réussi","Examen expiré")</f>
        <v>Examen expiré</v>
      </c>
      <c r="AB101" s="6">
        <f t="shared" si="49"/>
        <v>46214</v>
      </c>
      <c r="AC101" s="46" t="e">
        <f t="shared" ca="1" si="50"/>
        <v>#VALUE!</v>
      </c>
      <c r="AD101" s="143"/>
    </row>
    <row r="102" spans="2:30" ht="34.5" x14ac:dyDescent="0.35">
      <c r="B102" s="41" t="s">
        <v>326</v>
      </c>
      <c r="C102" s="51" t="s">
        <v>327</v>
      </c>
      <c r="D102" s="41" t="s">
        <v>56</v>
      </c>
      <c r="E102" s="39"/>
      <c r="F102" s="65" t="str">
        <f ca="1">IF(Tableau3[[#This Row],[Date d''expiration ]]&gt;TODAY()+31,"✅",IF(Tableau3[[#This Row],[Date d''expiration ]]&gt; TODAY()+1, "⚠️","⛔️"))</f>
        <v>⚠️</v>
      </c>
      <c r="G102" s="6">
        <f t="shared" si="43"/>
        <v>46299</v>
      </c>
      <c r="H102" s="40" t="str">
        <f ca="1">IF( Tableau3[[#This Row],[Date d''expiration ]]&gt;TODAY(),"Néant","Cas à justifier")</f>
        <v>Néant</v>
      </c>
      <c r="I102" s="32">
        <v>35109</v>
      </c>
      <c r="J102" s="75">
        <f t="shared" ca="1" si="44"/>
        <v>30.559215755541818</v>
      </c>
      <c r="K102" s="75">
        <f>YEARFRAC(I102,RG_DRH_S1_008!$E$4,1)</f>
        <v>29.876802336192736</v>
      </c>
      <c r="L102" s="75">
        <f>YEARFRAC(I102,RG_DRH_S1_008!$E$5,1)</f>
        <v>30.876799434778768</v>
      </c>
      <c r="M102" s="3" t="s">
        <v>237</v>
      </c>
      <c r="N102" s="3" t="s">
        <v>80</v>
      </c>
      <c r="O102" s="3" t="s">
        <v>81</v>
      </c>
      <c r="P102" s="42">
        <v>45630</v>
      </c>
      <c r="Q102" s="41" t="s">
        <v>47</v>
      </c>
      <c r="R102" s="76">
        <f t="shared" si="45"/>
        <v>28.80288870008496</v>
      </c>
      <c r="S102" s="19" t="str">
        <f>IF(L102&lt;40,"4",IF(L102&lt;50,"3",IF(L102&lt;55,IF(Tableau3[[#This Row],[Fonction]]="Conducteur de ligne","2","3"),"1")))</f>
        <v>4</v>
      </c>
      <c r="T102" s="6">
        <f t="shared" si="46"/>
        <v>47091</v>
      </c>
      <c r="U102" s="42">
        <v>45253</v>
      </c>
      <c r="V102" s="41" t="s">
        <v>48</v>
      </c>
      <c r="W102" s="75">
        <f t="shared" si="47"/>
        <v>27.772758384668034</v>
      </c>
      <c r="X102" s="6" t="str">
        <f>IF(L102&lt;40,"4",IF(L102&lt;55,"3",IF(Tableau3[[#This Row],[Fonction]]="conducteur de ligne","1","2")))</f>
        <v>4</v>
      </c>
      <c r="Y102" s="6">
        <f t="shared" si="48"/>
        <v>46714</v>
      </c>
      <c r="Z102" s="42">
        <v>45934</v>
      </c>
      <c r="AA102" s="3" t="str">
        <f ca="1">IF(Tableau3[[#This Row],[Date prochaine évaluation]]&gt; TODAY(),"Réussi","Examen expiré")</f>
        <v>Réussi</v>
      </c>
      <c r="AB102" s="6">
        <f t="shared" si="49"/>
        <v>46299</v>
      </c>
      <c r="AC102" s="46" t="e">
        <f t="shared" ca="1" si="50"/>
        <v>#VALUE!</v>
      </c>
      <c r="AD102" s="143"/>
    </row>
    <row r="103" spans="2:30" ht="48" hidden="1" x14ac:dyDescent="0.35">
      <c r="B103" s="41" t="s">
        <v>328</v>
      </c>
      <c r="C103" s="51" t="s">
        <v>329</v>
      </c>
      <c r="D103" s="41" t="s">
        <v>56</v>
      </c>
      <c r="E103" s="39"/>
      <c r="F103" s="65" t="str">
        <f ca="1">IF(Tableau3[[#This Row],[Date d''expiration ]]&gt;TODAY()+31,"✅",IF(Tableau3[[#This Row],[Date d''expiration ]]&gt; TODAY()+1, "⚠️","⛔️"))</f>
        <v>✅</v>
      </c>
      <c r="G103" s="6">
        <f t="shared" si="43"/>
        <v>46724</v>
      </c>
      <c r="H103" s="40" t="str">
        <f ca="1">IF( Tableau3[[#This Row],[Date d''expiration ]]&gt;TODAY(),"Néant","Cas à justifier")</f>
        <v>Néant</v>
      </c>
      <c r="I103" s="32">
        <v>35891</v>
      </c>
      <c r="J103" s="75">
        <f t="shared" ca="1" si="44"/>
        <v>28.419561933534744</v>
      </c>
      <c r="K103" s="75">
        <f>YEARFRAC(I103,RG_DRH_S1_008!$E$4,1)</f>
        <v>27.737166324435318</v>
      </c>
      <c r="L103" s="75">
        <f>YEARFRAC(I103,RG_DRH_S1_008!$E$5,1)</f>
        <v>28.737160120845921</v>
      </c>
      <c r="M103" s="3" t="s">
        <v>44</v>
      </c>
      <c r="N103" s="3" t="s">
        <v>173</v>
      </c>
      <c r="O103" s="3" t="s">
        <v>268</v>
      </c>
      <c r="P103" s="42">
        <v>45803</v>
      </c>
      <c r="Q103" s="41" t="s">
        <v>47</v>
      </c>
      <c r="R103" s="76">
        <f t="shared" si="45"/>
        <v>27.137577002053387</v>
      </c>
      <c r="S103" s="19" t="str">
        <f>IF(L103&lt;40,"4",IF(L103&lt;50,"3",IF(L103&lt;55,IF(Tableau3[[#This Row],[Fonction]]="Conducteur de ligne","2","3"),"1")))</f>
        <v>4</v>
      </c>
      <c r="T103" s="6">
        <f t="shared" si="46"/>
        <v>47264</v>
      </c>
      <c r="U103" s="42">
        <v>45728</v>
      </c>
      <c r="V103" s="41" t="s">
        <v>48</v>
      </c>
      <c r="W103" s="75">
        <f t="shared" si="47"/>
        <v>26.932238193018481</v>
      </c>
      <c r="X103" s="6" t="str">
        <f>IF(L103&lt;40,"4",IF(L103&lt;55,"3",IF(Tableau3[[#This Row],[Fonction]]="conducteur de ligne","1","2")))</f>
        <v>4</v>
      </c>
      <c r="Y103" s="6">
        <f t="shared" si="48"/>
        <v>47189</v>
      </c>
      <c r="Z103" s="42">
        <v>46359</v>
      </c>
      <c r="AA103" s="3" t="str">
        <f ca="1">IF(Tableau3[[#This Row],[Date prochaine évaluation]]&gt; TODAY(),"Réussi","Examen expiré")</f>
        <v>Réussi</v>
      </c>
      <c r="AB103" s="6">
        <f t="shared" si="49"/>
        <v>46724</v>
      </c>
      <c r="AC103" s="46" t="e">
        <f t="shared" ca="1" si="50"/>
        <v>#VALUE!</v>
      </c>
      <c r="AD103" s="143"/>
    </row>
    <row r="104" spans="2:30" ht="48" x14ac:dyDescent="0.35">
      <c r="B104" s="52" t="s">
        <v>330</v>
      </c>
      <c r="C104" s="52" t="s">
        <v>331</v>
      </c>
      <c r="D104" s="52" t="s">
        <v>56</v>
      </c>
      <c r="E104" s="86"/>
      <c r="F104" s="65" t="str">
        <f ca="1">IF(Tableau3[[#This Row],[Date d''expiration ]]&gt;TODAY()+31,"✅",IF(Tableau3[[#This Row],[Date d''expiration ]]&gt; TODAY()+1, "⚠️","⛔️"))</f>
        <v>✅</v>
      </c>
      <c r="G104" s="21">
        <f t="shared" si="43"/>
        <v>46378</v>
      </c>
      <c r="H104" s="40" t="str">
        <f ca="1">IF( Tableau3[[#This Row],[Date d''expiration ]]&gt;TODAY(),"Néant","Cas à justifier")</f>
        <v>Néant</v>
      </c>
      <c r="I104" s="21">
        <v>36111</v>
      </c>
      <c r="J104" s="75">
        <f t="shared" ca="1" si="44"/>
        <v>27.817220543806648</v>
      </c>
      <c r="K104" s="75">
        <f>YEARFRAC(I104,RG_DRH_S1_008!$E$4,1)</f>
        <v>27.134839151266256</v>
      </c>
      <c r="L104" s="75">
        <f>YEARFRAC(I104,RG_DRH_S1_008!$E$5,1)</f>
        <v>28.134818731117825</v>
      </c>
      <c r="M104" s="3" t="s">
        <v>237</v>
      </c>
      <c r="N104" s="3" t="s">
        <v>173</v>
      </c>
      <c r="O104" s="3" t="s">
        <v>268</v>
      </c>
      <c r="P104" s="42">
        <v>46174</v>
      </c>
      <c r="Q104" s="41" t="s">
        <v>47</v>
      </c>
      <c r="R104" s="76">
        <f t="shared" si="45"/>
        <v>27.551642749244714</v>
      </c>
      <c r="S104" s="19" t="str">
        <f>IF(L104&lt;40,"4",IF(L104&lt;50,"3",IF(L104&lt;55,IF(Tableau3[[#This Row],[Fonction]]="Conducteur de ligne","2","3"),"1")))</f>
        <v>4</v>
      </c>
      <c r="T104" s="6">
        <f t="shared" si="46"/>
        <v>47635</v>
      </c>
      <c r="U104" s="42">
        <v>45831</v>
      </c>
      <c r="V104" s="41" t="s">
        <v>48</v>
      </c>
      <c r="W104" s="75">
        <f t="shared" si="47"/>
        <v>26.611909650924023</v>
      </c>
      <c r="X104" s="6" t="str">
        <f>IF(L104&lt;40,"4",IF(L104&lt;55,"3",IF(Tableau3[[#This Row],[Fonction]]="conducteur de ligne","1","2")))</f>
        <v>4</v>
      </c>
      <c r="Y104" s="6">
        <f t="shared" si="48"/>
        <v>47292</v>
      </c>
      <c r="Z104" s="42">
        <v>46013</v>
      </c>
      <c r="AA104" s="3" t="str">
        <f ca="1">IF(Tableau3[[#This Row],[Date prochaine évaluation]]&gt; TODAY(),"Réussi","Examen expiré")</f>
        <v>Réussi</v>
      </c>
      <c r="AB104" s="6">
        <f t="shared" si="49"/>
        <v>46378</v>
      </c>
      <c r="AC104" s="46" t="e">
        <f t="shared" ca="1" si="50"/>
        <v>#VALUE!</v>
      </c>
      <c r="AD104" s="143"/>
    </row>
    <row r="105" spans="2:30" ht="64" x14ac:dyDescent="0.35">
      <c r="B105" s="41" t="s">
        <v>332</v>
      </c>
      <c r="C105" s="51" t="s">
        <v>333</v>
      </c>
      <c r="D105" s="41" t="s">
        <v>56</v>
      </c>
      <c r="E105" s="39"/>
      <c r="F105" s="65" t="str">
        <f ca="1">IF(Tableau3[[#This Row],[Date d''expiration ]]&gt;TODAY()+31,"✅",IF(Tableau3[[#This Row],[Date d''expiration ]]&gt; TODAY()+1, "⚠️","⛔️"))</f>
        <v>⚠️</v>
      </c>
      <c r="G105" s="6">
        <f t="shared" si="43"/>
        <v>46293</v>
      </c>
      <c r="H105" s="40" t="str">
        <f ca="1">IF( Tableau3[[#This Row],[Date d''expiration ]]&gt;TODAY(),"Néant","Cas à justifier")</f>
        <v>Néant</v>
      </c>
      <c r="I105" s="32">
        <v>35714</v>
      </c>
      <c r="J105" s="75">
        <f t="shared" ca="1" si="44"/>
        <v>28.904809710687232</v>
      </c>
      <c r="K105" s="75">
        <f>YEARFRAC(I105,RG_DRH_S1_008!$E$4,1)</f>
        <v>28.222432024169184</v>
      </c>
      <c r="L105" s="75">
        <f>YEARFRAC(I105,RG_DRH_S1_008!$E$5,1)</f>
        <v>29.222414894587935</v>
      </c>
      <c r="M105" s="3" t="s">
        <v>237</v>
      </c>
      <c r="N105" s="3" t="s">
        <v>173</v>
      </c>
      <c r="O105" s="3" t="s">
        <v>73</v>
      </c>
      <c r="P105" s="42">
        <v>44832</v>
      </c>
      <c r="Q105" s="41" t="s">
        <v>47</v>
      </c>
      <c r="R105" s="76">
        <f t="shared" si="45"/>
        <v>24.965037910699241</v>
      </c>
      <c r="S105" s="19" t="str">
        <f>IF(L105&lt;40,"4",IF(L105&lt;50,"3",IF(L105&lt;55,IF(Tableau3[[#This Row],[Fonction]]="Conducteur de ligne","2","3"),"1")))</f>
        <v>4</v>
      </c>
      <c r="T105" s="6">
        <f t="shared" si="46"/>
        <v>46293</v>
      </c>
      <c r="U105" s="42">
        <v>45988</v>
      </c>
      <c r="V105" s="41" t="s">
        <v>48</v>
      </c>
      <c r="W105" s="75">
        <f t="shared" si="47"/>
        <v>28.129342900302117</v>
      </c>
      <c r="X105" s="6" t="str">
        <f>IF(L105&lt;40,"4",IF(L105&lt;55,"3",IF(Tableau3[[#This Row],[Fonction]]="conducteur de ligne","1","2")))</f>
        <v>4</v>
      </c>
      <c r="Y105" s="6">
        <f t="shared" si="48"/>
        <v>47449</v>
      </c>
      <c r="Z105" s="42">
        <v>46054</v>
      </c>
      <c r="AA105" s="3" t="str">
        <f ca="1">IF(Tableau3[[#This Row],[Date prochaine évaluation]]&gt; TODAY(),"Réussi","Examen expiré")</f>
        <v>Réussi</v>
      </c>
      <c r="AB105" s="6">
        <f t="shared" si="49"/>
        <v>46419</v>
      </c>
      <c r="AC105" s="46" t="e">
        <f t="shared" ca="1" si="50"/>
        <v>#VALUE!</v>
      </c>
      <c r="AD105" s="143"/>
    </row>
    <row r="106" spans="2:30" ht="48" x14ac:dyDescent="0.35">
      <c r="B106" s="52" t="s">
        <v>334</v>
      </c>
      <c r="C106" s="52" t="s">
        <v>335</v>
      </c>
      <c r="D106" s="52" t="s">
        <v>56</v>
      </c>
      <c r="E106" s="86"/>
      <c r="F106" s="65" t="str">
        <f ca="1">IF(Tableau3[[#This Row],[Date d''expiration ]]&gt;TODAY()+31,"✅",IF(Tableau3[[#This Row],[Date d''expiration ]]&gt; TODAY()+1, "⚠️","⛔️"))</f>
        <v>✅</v>
      </c>
      <c r="G106" s="21">
        <f t="shared" si="43"/>
        <v>46309</v>
      </c>
      <c r="H106" s="40" t="str">
        <f ca="1">IF( Tableau3[[#This Row],[Date d''expiration ]]&gt;TODAY(),"Néant","Cas à justifier")</f>
        <v>Néant</v>
      </c>
      <c r="I106" s="21">
        <v>35978</v>
      </c>
      <c r="J106" s="75">
        <f t="shared" ca="1" si="44"/>
        <v>28.181363293051358</v>
      </c>
      <c r="K106" s="75">
        <f>YEARFRAC(I106,RG_DRH_S1_008!$E$4,1)</f>
        <v>27.498973305954827</v>
      </c>
      <c r="L106" s="75">
        <f>YEARFRAC(I106,RG_DRH_S1_008!$E$5,1)</f>
        <v>28.498961480362539</v>
      </c>
      <c r="M106" s="3" t="s">
        <v>237</v>
      </c>
      <c r="N106" s="3" t="s">
        <v>173</v>
      </c>
      <c r="O106" s="3" t="s">
        <v>268</v>
      </c>
      <c r="P106" s="42">
        <v>44848</v>
      </c>
      <c r="Q106" s="41" t="s">
        <v>47</v>
      </c>
      <c r="R106" s="76">
        <f t="shared" si="45"/>
        <v>24.285401379914575</v>
      </c>
      <c r="S106" s="19" t="str">
        <f>IF(L106&lt;40,"4",IF(L106&lt;50,"3",IF(L106&lt;55,IF(Tableau3[[#This Row],[Fonction]]="Conducteur de ligne","2","3"),"1")))</f>
        <v>4</v>
      </c>
      <c r="T106" s="6">
        <f t="shared" si="46"/>
        <v>46309</v>
      </c>
      <c r="U106" s="42">
        <v>45987</v>
      </c>
      <c r="V106" s="41" t="s">
        <v>48</v>
      </c>
      <c r="W106" s="75">
        <f t="shared" si="47"/>
        <v>27.4031485284052</v>
      </c>
      <c r="X106" s="6" t="str">
        <f>IF(L106&lt;40,"4",IF(L106&lt;55,"3",IF(Tableau3[[#This Row],[Fonction]]="conducteur de ligne","1","2")))</f>
        <v>4</v>
      </c>
      <c r="Y106" s="6">
        <f t="shared" si="48"/>
        <v>47448</v>
      </c>
      <c r="Z106" s="42">
        <v>46186</v>
      </c>
      <c r="AA106" s="3" t="str">
        <f ca="1">IF(Tableau3[[#This Row],[Date prochaine évaluation]]&gt; TODAY(),"Réussi","Examen expiré")</f>
        <v>Réussi</v>
      </c>
      <c r="AB106" s="6">
        <f t="shared" si="49"/>
        <v>46551</v>
      </c>
      <c r="AC106" s="46" t="e">
        <f t="shared" ca="1" si="50"/>
        <v>#VALUE!</v>
      </c>
      <c r="AD106" s="143"/>
    </row>
    <row r="107" spans="2:30" ht="48" x14ac:dyDescent="0.35">
      <c r="B107" s="41" t="s">
        <v>336</v>
      </c>
      <c r="C107" s="51" t="s">
        <v>337</v>
      </c>
      <c r="D107" s="41" t="s">
        <v>56</v>
      </c>
      <c r="E107" s="39"/>
      <c r="F107" s="65" t="str">
        <f ca="1">IF(Tableau3[[#This Row],[Date d''expiration ]]&gt;TODAY()+31,"✅",IF(Tableau3[[#This Row],[Date d''expiration ]]&gt; TODAY()+1, "⚠️","⛔️"))</f>
        <v>⚠️</v>
      </c>
      <c r="G107" s="6">
        <f t="shared" si="43"/>
        <v>46291</v>
      </c>
      <c r="H107" s="133" t="s">
        <v>156</v>
      </c>
      <c r="I107" s="32">
        <v>36285</v>
      </c>
      <c r="J107" s="75">
        <f t="shared" ca="1" si="44"/>
        <v>27.340177960301162</v>
      </c>
      <c r="K107" s="75">
        <f>YEARFRAC(I107,RG_DRH_S1_008!$E$4,1)</f>
        <v>26.657777327114179</v>
      </c>
      <c r="L107" s="75">
        <f>YEARFRAC(I107,RG_DRH_S1_008!$E$5,1)</f>
        <v>27.657768651608489</v>
      </c>
      <c r="M107" s="3" t="s">
        <v>237</v>
      </c>
      <c r="N107" s="3" t="s">
        <v>173</v>
      </c>
      <c r="O107" s="3" t="s">
        <v>268</v>
      </c>
      <c r="P107" s="42">
        <v>45261</v>
      </c>
      <c r="Q107" s="41" t="s">
        <v>47</v>
      </c>
      <c r="R107" s="76">
        <f t="shared" si="45"/>
        <v>24.575621509144671</v>
      </c>
      <c r="S107" s="19" t="str">
        <f>IF(L107&lt;40,"4",IF(L107&lt;50,"3",IF(L107&lt;55,IF(Tableau3[[#This Row],[Fonction]]="Conducteur de ligne","2","3"),"1")))</f>
        <v>4</v>
      </c>
      <c r="T107" s="6">
        <f t="shared" si="46"/>
        <v>46722</v>
      </c>
      <c r="U107" s="42">
        <v>44830</v>
      </c>
      <c r="V107" s="41" t="s">
        <v>48</v>
      </c>
      <c r="W107" s="75">
        <f t="shared" si="47"/>
        <v>23.394934976043807</v>
      </c>
      <c r="X107" s="6" t="str">
        <f>IF(L107&lt;40,"4",IF(L107&lt;55,"3",IF(Tableau3[[#This Row],[Fonction]]="conducteur de ligne","1","2")))</f>
        <v>4</v>
      </c>
      <c r="Y107" s="6">
        <f t="shared" si="48"/>
        <v>46291</v>
      </c>
      <c r="Z107" s="42">
        <v>46174</v>
      </c>
      <c r="AA107" s="3" t="str">
        <f ca="1">IF(Tableau3[[#This Row],[Date prochaine évaluation]]&gt; TODAY(),"Réussi","Examen expiré")</f>
        <v>Réussi</v>
      </c>
      <c r="AB107" s="6">
        <f t="shared" si="49"/>
        <v>46539</v>
      </c>
      <c r="AC107" s="46" t="e">
        <f t="shared" ca="1" si="50"/>
        <v>#VALUE!</v>
      </c>
      <c r="AD107" s="143"/>
    </row>
    <row r="108" spans="2:30" ht="48" x14ac:dyDescent="0.35">
      <c r="B108" s="52" t="s">
        <v>338</v>
      </c>
      <c r="C108" s="52" t="s">
        <v>339</v>
      </c>
      <c r="D108" s="52" t="s">
        <v>56</v>
      </c>
      <c r="E108" s="86"/>
      <c r="F108" s="65" t="str">
        <f ca="1">IF(Tableau3[[#This Row],[Date d''expiration ]]&gt;TODAY()+31,"✅",IF(Tableau3[[#This Row],[Date d''expiration ]]&gt; TODAY()+1, "⚠️","⛔️"))</f>
        <v>✅</v>
      </c>
      <c r="G108" s="21">
        <f t="shared" si="43"/>
        <v>46498</v>
      </c>
      <c r="H108" s="40" t="str">
        <f ca="1">IF( Tableau3[[#This Row],[Date d''expiration ]]&gt;TODAY(),"Néant","Cas à justifier")</f>
        <v>Néant</v>
      </c>
      <c r="I108" s="21">
        <v>36950</v>
      </c>
      <c r="J108" s="75">
        <f t="shared" ca="1" si="44"/>
        <v>25.520850884582984</v>
      </c>
      <c r="K108" s="75">
        <f>YEARFRAC(I108,RG_DRH_S1_008!$E$4,1)</f>
        <v>24.838462380900229</v>
      </c>
      <c r="L108" s="75">
        <f>YEARFRAC(I108,RG_DRH_S1_008!$E$5,1)</f>
        <v>25.838458298230833</v>
      </c>
      <c r="M108" s="3" t="s">
        <v>237</v>
      </c>
      <c r="N108" s="3" t="s">
        <v>173</v>
      </c>
      <c r="O108" s="3" t="s">
        <v>340</v>
      </c>
      <c r="P108" s="42">
        <v>45610</v>
      </c>
      <c r="Q108" s="41" t="s">
        <v>47</v>
      </c>
      <c r="R108" s="76">
        <f t="shared" si="45"/>
        <v>23.709787816563999</v>
      </c>
      <c r="S108" s="19" t="str">
        <f>IF(L108&lt;40,"4",IF(L108&lt;50,"3",IF(L108&lt;55,IF(Tableau3[[#This Row],[Fonction]]="Conducteur de ligne","2","3"),"1")))</f>
        <v>4</v>
      </c>
      <c r="T108" s="6">
        <f t="shared" si="46"/>
        <v>47071</v>
      </c>
      <c r="U108" s="42">
        <v>45986</v>
      </c>
      <c r="V108" s="41" t="s">
        <v>48</v>
      </c>
      <c r="W108" s="75">
        <f t="shared" si="47"/>
        <v>24.739897053991896</v>
      </c>
      <c r="X108" s="6" t="str">
        <f>IF(L108&lt;40,"4",IF(L108&lt;55,"3",IF(Tableau3[[#This Row],[Fonction]]="conducteur de ligne","1","2")))</f>
        <v>4</v>
      </c>
      <c r="Y108" s="6">
        <f t="shared" si="48"/>
        <v>47447</v>
      </c>
      <c r="Z108" s="42">
        <v>46133</v>
      </c>
      <c r="AA108" s="3" t="str">
        <f ca="1">IF(Tableau3[[#This Row],[Date prochaine évaluation]]&gt; TODAY(),"Réussi","Examen expiré")</f>
        <v>Réussi</v>
      </c>
      <c r="AB108" s="6">
        <f t="shared" si="49"/>
        <v>46498</v>
      </c>
      <c r="AC108" s="46" t="e">
        <f t="shared" ca="1" si="50"/>
        <v>#VALUE!</v>
      </c>
      <c r="AD108" s="143"/>
    </row>
    <row r="109" spans="2:30" ht="48" x14ac:dyDescent="0.35">
      <c r="B109" s="41" t="s">
        <v>342</v>
      </c>
      <c r="C109" s="53" t="s">
        <v>343</v>
      </c>
      <c r="D109" s="41" t="s">
        <v>56</v>
      </c>
      <c r="E109" s="39"/>
      <c r="F109" s="65" t="str">
        <f ca="1">IF(Tableau3[[#This Row],[Date d''expiration ]]&gt;TODAY()+31,"✅",IF(Tableau3[[#This Row],[Date d''expiration ]]&gt; TODAY()+1, "⚠️","⛔️"))</f>
        <v>⚠️</v>
      </c>
      <c r="G109" s="6">
        <f t="shared" si="43"/>
        <v>46285</v>
      </c>
      <c r="H109" s="40" t="str">
        <f ca="1">IF( Tableau3[[#This Row],[Date d''expiration ]]&gt;TODAY(),"Néant","Cas à justifier")</f>
        <v>Néant</v>
      </c>
      <c r="I109" s="7">
        <v>35561</v>
      </c>
      <c r="J109" s="75">
        <f t="shared" ca="1" si="44"/>
        <v>29.323719996349364</v>
      </c>
      <c r="K109" s="75">
        <f>YEARFRAC(I109,RG_DRH_S1_008!$E$4,1)</f>
        <v>28.641333081570998</v>
      </c>
      <c r="L109" s="75">
        <f>YEARFRAC(I109,RG_DRH_S1_008!$E$5,1)</f>
        <v>29.641325180250067</v>
      </c>
      <c r="M109" s="3" t="s">
        <v>237</v>
      </c>
      <c r="N109" s="3" t="s">
        <v>173</v>
      </c>
      <c r="O109" s="3" t="s">
        <v>268</v>
      </c>
      <c r="P109" s="42">
        <v>45180</v>
      </c>
      <c r="Q109" s="41" t="s">
        <v>47</v>
      </c>
      <c r="R109" s="76">
        <f t="shared" si="45"/>
        <v>26.337389717067236</v>
      </c>
      <c r="S109" s="19" t="str">
        <f>IF(L109&lt;40,"4",IF(L109&lt;50,"3",IF(L109&lt;55,IF(Tableau3[[#This Row],[Fonction]]="Conducteur de ligne","2","3"),"1")))</f>
        <v>4</v>
      </c>
      <c r="T109" s="6">
        <f t="shared" si="46"/>
        <v>46641</v>
      </c>
      <c r="U109" s="42">
        <v>44824</v>
      </c>
      <c r="V109" s="41" t="s">
        <v>48</v>
      </c>
      <c r="W109" s="75">
        <f t="shared" si="47"/>
        <v>25.362047177759056</v>
      </c>
      <c r="X109" s="6" t="str">
        <f>IF(L109&lt;40,"4",IF(L109&lt;55,"3",IF(Tableau3[[#This Row],[Fonction]]="conducteur de ligne","1","2")))</f>
        <v>4</v>
      </c>
      <c r="Y109" s="6">
        <f t="shared" si="48"/>
        <v>46285</v>
      </c>
      <c r="Z109" s="42">
        <v>46176</v>
      </c>
      <c r="AA109" s="3" t="str">
        <f ca="1">IF(Tableau3[[#This Row],[Date prochaine évaluation]]&gt; TODAY(),"Réussi","Examen expiré")</f>
        <v>Réussi</v>
      </c>
      <c r="AB109" s="6">
        <f t="shared" si="49"/>
        <v>46541</v>
      </c>
      <c r="AC109" s="46" t="e">
        <f t="shared" ca="1" si="50"/>
        <v>#VALUE!</v>
      </c>
      <c r="AD109" s="143"/>
    </row>
    <row r="110" spans="2:30" ht="48" x14ac:dyDescent="0.35">
      <c r="B110" s="52" t="s">
        <v>344</v>
      </c>
      <c r="C110" s="50" t="s">
        <v>345</v>
      </c>
      <c r="D110" s="52" t="s">
        <v>56</v>
      </c>
      <c r="E110" s="86"/>
      <c r="F110" s="65" t="str">
        <f ca="1">IF(Tableau3[[#This Row],[Date d''expiration ]]&gt;TODAY()+31,"✅",IF(Tableau3[[#This Row],[Date d''expiration ]]&gt; TODAY()+1, "⚠️","⛔️"))</f>
        <v>✅</v>
      </c>
      <c r="G110" s="21">
        <f t="shared" si="43"/>
        <v>46473</v>
      </c>
      <c r="H110" s="40" t="str">
        <f ca="1">IF( Tableau3[[#This Row],[Date d''expiration ]]&gt;TODAY(),"Néant","Cas à justifier")</f>
        <v>Néant</v>
      </c>
      <c r="I110" s="21">
        <v>37467</v>
      </c>
      <c r="J110" s="75">
        <f t="shared" ca="1" si="44"/>
        <v>24.104698280582632</v>
      </c>
      <c r="K110" s="75">
        <f>YEARFRAC(I110,RG_DRH_S1_008!$E$4,1)</f>
        <v>23.422313483915126</v>
      </c>
      <c r="L110" s="75">
        <f>YEARFRAC(I110,RG_DRH_S1_008!$E$5,1)</f>
        <v>24.422297667287264</v>
      </c>
      <c r="M110" s="3" t="s">
        <v>237</v>
      </c>
      <c r="N110" s="3" t="s">
        <v>173</v>
      </c>
      <c r="O110" s="3" t="s">
        <v>268</v>
      </c>
      <c r="P110" s="42">
        <v>45505</v>
      </c>
      <c r="Q110" s="41" t="s">
        <v>47</v>
      </c>
      <c r="R110" s="76">
        <f t="shared" si="45"/>
        <v>22.006189739316749</v>
      </c>
      <c r="S110" s="19" t="str">
        <f>IF(L110&lt;40,"4",IF(L110&lt;50,"3",IF(L110&lt;55,IF(Tableau3[[#This Row],[Fonction]]="Conducteur de ligne","2","3"),"1")))</f>
        <v>4</v>
      </c>
      <c r="T110" s="6">
        <f t="shared" si="46"/>
        <v>46966</v>
      </c>
      <c r="U110" s="42">
        <v>45986</v>
      </c>
      <c r="V110" s="41" t="s">
        <v>48</v>
      </c>
      <c r="W110" s="75">
        <f t="shared" si="47"/>
        <v>23.323750855578371</v>
      </c>
      <c r="X110" s="6" t="str">
        <f>IF(L110&lt;40,"4",IF(L110&lt;55,"3",IF(Tableau3[[#This Row],[Fonction]]="conducteur de ligne","1","2")))</f>
        <v>4</v>
      </c>
      <c r="Y110" s="6">
        <f t="shared" si="48"/>
        <v>47447</v>
      </c>
      <c r="Z110" s="42">
        <v>46108</v>
      </c>
      <c r="AA110" s="3" t="str">
        <f ca="1">IF(Tableau3[[#This Row],[Date prochaine évaluation]]&gt; TODAY(),"Réussi","Examen expiré")</f>
        <v>Réussi</v>
      </c>
      <c r="AB110" s="6">
        <f t="shared" si="49"/>
        <v>46473</v>
      </c>
      <c r="AC110" s="46" t="e">
        <f t="shared" ca="1" si="50"/>
        <v>#VALUE!</v>
      </c>
      <c r="AD110" s="143"/>
    </row>
    <row r="111" spans="2:30" ht="48" x14ac:dyDescent="0.35">
      <c r="B111" s="41" t="s">
        <v>346</v>
      </c>
      <c r="C111" s="53" t="s">
        <v>347</v>
      </c>
      <c r="D111" s="41" t="s">
        <v>56</v>
      </c>
      <c r="E111" s="39"/>
      <c r="F111" s="65" t="str">
        <f ca="1">IF(Tableau3[[#This Row],[Date d''expiration ]]&gt;TODAY()+31,"✅",IF(Tableau3[[#This Row],[Date d''expiration ]]&gt; TODAY()+1, "⚠️","⛔️"))</f>
        <v>⛔️</v>
      </c>
      <c r="G111" s="6">
        <f t="shared" si="43"/>
        <v>46214</v>
      </c>
      <c r="H111" s="40" t="str">
        <f ca="1">IF( Tableau3[[#This Row],[Date d''expiration ]]&gt;TODAY(),"Néant","Cas à justifier")</f>
        <v>Cas à justifier</v>
      </c>
      <c r="I111" s="7">
        <v>25448</v>
      </c>
      <c r="J111" s="75">
        <f t="shared" ca="1" si="44"/>
        <v>57.01161253776435</v>
      </c>
      <c r="K111" s="75">
        <f>YEARFRAC(I111,RG_DRH_S1_008!$E$4,1)</f>
        <v>56.329218502329603</v>
      </c>
      <c r="L111" s="75">
        <f>YEARFRAC(I111,RG_DRH_S1_008!$E$5,1)</f>
        <v>57.329210725075527</v>
      </c>
      <c r="M111" s="3" t="s">
        <v>237</v>
      </c>
      <c r="N111" s="3" t="s">
        <v>173</v>
      </c>
      <c r="O111" s="3" t="s">
        <v>348</v>
      </c>
      <c r="P111" s="42">
        <v>46083</v>
      </c>
      <c r="Q111" s="41" t="s">
        <v>47</v>
      </c>
      <c r="R111" s="76">
        <f t="shared" si="45"/>
        <v>56.496884441087616</v>
      </c>
      <c r="S111" s="19" t="str">
        <f>IF(L111&lt;40,"4",IF(L111&lt;50,"3",IF(L111&lt;55,IF(Tableau3[[#This Row],[Fonction]]="Conducteur de ligne","2","3"),"1")))</f>
        <v>1</v>
      </c>
      <c r="T111" s="6">
        <f>EDATE(P111, (12*S111))</f>
        <v>46448</v>
      </c>
      <c r="U111" s="42">
        <v>45484</v>
      </c>
      <c r="V111" s="41" t="s">
        <v>48</v>
      </c>
      <c r="W111" s="75">
        <f t="shared" si="47"/>
        <v>54.855578370978783</v>
      </c>
      <c r="X111" s="6" t="str">
        <f>IF(L111&lt;40,"4",IF(L111&lt;55,"3",IF(Tableau3[[#This Row],[Fonction]]="conducteur de ligne","1","2")))</f>
        <v>2</v>
      </c>
      <c r="Y111" s="6">
        <f t="shared" si="48"/>
        <v>46214</v>
      </c>
      <c r="Z111" s="42">
        <v>45908</v>
      </c>
      <c r="AA111" s="3" t="str">
        <f ca="1">IF(Tableau3[[#This Row],[Date prochaine évaluation]]&gt; TODAY(),"Réussi","Examen expiré")</f>
        <v>Réussi</v>
      </c>
      <c r="AB111" s="6">
        <f t="shared" si="49"/>
        <v>46273</v>
      </c>
      <c r="AC111" s="46" t="e">
        <f t="shared" ca="1" si="50"/>
        <v>#VALUE!</v>
      </c>
      <c r="AD111" s="143"/>
    </row>
    <row r="112" spans="2:30" ht="48" x14ac:dyDescent="0.35">
      <c r="B112" s="52" t="s">
        <v>349</v>
      </c>
      <c r="C112" s="50" t="s">
        <v>350</v>
      </c>
      <c r="D112" s="52" t="s">
        <v>56</v>
      </c>
      <c r="E112" s="86"/>
      <c r="F112" s="65" t="str">
        <f ca="1">IF(Tableau3[[#This Row],[Date d''expiration ]]&gt;TODAY()+31,"✅",IF(Tableau3[[#This Row],[Date d''expiration ]]&gt; TODAY()+1, "⚠️","⛔️"))</f>
        <v>✅</v>
      </c>
      <c r="G112" s="21">
        <f t="shared" si="43"/>
        <v>46309</v>
      </c>
      <c r="H112" s="40" t="str">
        <f ca="1">IF( Tableau3[[#This Row],[Date d''expiration ]]&gt;TODAY(),"Néant","Cas à justifier")</f>
        <v>Néant</v>
      </c>
      <c r="I112" s="20">
        <v>36579</v>
      </c>
      <c r="J112" s="75">
        <f t="shared" ca="1" si="44"/>
        <v>26.53457716487528</v>
      </c>
      <c r="K112" s="75">
        <f>YEARFRAC(I112,RG_DRH_S1_008!$E$4,1)</f>
        <v>25.852163841213013</v>
      </c>
      <c r="L112" s="75">
        <f>YEARFRAC(I112,RG_DRH_S1_008!$E$5,1)</f>
        <v>26.852159805313324</v>
      </c>
      <c r="M112" s="3" t="s">
        <v>237</v>
      </c>
      <c r="N112" s="3" t="s">
        <v>173</v>
      </c>
      <c r="O112" s="3" t="s">
        <v>268</v>
      </c>
      <c r="P112" s="42">
        <v>44848</v>
      </c>
      <c r="Q112" s="41" t="s">
        <v>47</v>
      </c>
      <c r="R112" s="76">
        <f t="shared" si="45"/>
        <v>22.638614450660636</v>
      </c>
      <c r="S112" s="19" t="str">
        <f>IF(L112&lt;40,"4",IF(L112&lt;50,"3",IF(L112&lt;55,IF(Tableau3[[#This Row],[Fonction]]="Conducteur de ligne","2","3"),"1")))</f>
        <v>4</v>
      </c>
      <c r="T112" s="6">
        <f t="shared" si="46"/>
        <v>46309</v>
      </c>
      <c r="U112" s="42">
        <v>45863</v>
      </c>
      <c r="V112" s="41" t="s">
        <v>48</v>
      </c>
      <c r="W112" s="75">
        <f t="shared" si="47"/>
        <v>25.416868484784668</v>
      </c>
      <c r="X112" s="6" t="str">
        <f>IF(L112&lt;40,"4",IF(L112&lt;55,"3",IF(Tableau3[[#This Row],[Fonction]]="conducteur de ligne","1","2")))</f>
        <v>4</v>
      </c>
      <c r="Y112" s="6">
        <f t="shared" si="48"/>
        <v>47324</v>
      </c>
      <c r="Z112" s="42">
        <v>46097</v>
      </c>
      <c r="AA112" s="3" t="str">
        <f ca="1">IF(Tableau3[[#This Row],[Date prochaine évaluation]]&gt; TODAY(),"Réussi","Examen expiré")</f>
        <v>Réussi</v>
      </c>
      <c r="AB112" s="6">
        <f t="shared" si="49"/>
        <v>46462</v>
      </c>
      <c r="AC112" s="46" t="e">
        <f t="shared" ca="1" si="50"/>
        <v>#VALUE!</v>
      </c>
      <c r="AD112" s="143"/>
    </row>
    <row r="113" spans="2:30" ht="48" x14ac:dyDescent="0.35">
      <c r="B113" s="41" t="s">
        <v>351</v>
      </c>
      <c r="C113" s="53" t="s">
        <v>352</v>
      </c>
      <c r="D113" s="41" t="s">
        <v>56</v>
      </c>
      <c r="E113" s="39"/>
      <c r="F113" s="65" t="str">
        <f ca="1">IF(Tableau3[[#This Row],[Date d''expiration ]]&gt;TODAY()+31,"✅",IF(Tableau3[[#This Row],[Date d''expiration ]]&gt; TODAY()+1, "⚠️","⛔️"))</f>
        <v>⚠️</v>
      </c>
      <c r="G113" s="6">
        <f t="shared" si="43"/>
        <v>46291</v>
      </c>
      <c r="H113" s="40" t="str">
        <f ca="1">IF( Tableau3[[#This Row],[Date d''expiration ]]&gt;TODAY(),"Néant","Cas à justifier")</f>
        <v>Néant</v>
      </c>
      <c r="I113" s="7">
        <v>36699</v>
      </c>
      <c r="J113" s="75">
        <f t="shared" ca="1" si="44"/>
        <v>26.206043398904889</v>
      </c>
      <c r="K113" s="75">
        <f>YEARFRAC(I113,RG_DRH_S1_008!$E$4,1)</f>
        <v>25.523639043908602</v>
      </c>
      <c r="L113" s="75">
        <f>YEARFRAC(I113,RG_DRH_S1_008!$E$5,1)</f>
        <v>26.523626039342933</v>
      </c>
      <c r="M113" s="3" t="s">
        <v>237</v>
      </c>
      <c r="N113" s="3" t="s">
        <v>173</v>
      </c>
      <c r="O113" s="3" t="s">
        <v>268</v>
      </c>
      <c r="P113" s="42">
        <v>45212</v>
      </c>
      <c r="Q113" s="41" t="s">
        <v>47</v>
      </c>
      <c r="R113" s="76">
        <f t="shared" si="45"/>
        <v>23.307323750855577</v>
      </c>
      <c r="S113" s="19" t="str">
        <f>IF(L113&lt;40,"4",IF(L113&lt;50,"3",IF(L113&lt;55,IF(Tableau3[[#This Row],[Fonction]]="Conducteur de ligne","2","3"),"1")))</f>
        <v>4</v>
      </c>
      <c r="T113" s="6">
        <f t="shared" si="46"/>
        <v>46673</v>
      </c>
      <c r="U113" s="42">
        <v>44830</v>
      </c>
      <c r="V113" s="41" t="s">
        <v>48</v>
      </c>
      <c r="W113" s="75">
        <f t="shared" si="47"/>
        <v>22.26080228544221</v>
      </c>
      <c r="X113" s="6" t="str">
        <f>IF(L113&lt;40,"4",IF(L113&lt;55,"3",IF(Tableau3[[#This Row],[Fonction]]="conducteur de ligne","1","2")))</f>
        <v>4</v>
      </c>
      <c r="Y113" s="6">
        <f t="shared" si="48"/>
        <v>46291</v>
      </c>
      <c r="Z113" s="42">
        <v>46135</v>
      </c>
      <c r="AA113" s="3" t="str">
        <f ca="1">IF(Tableau3[[#This Row],[Date prochaine évaluation]]&gt; TODAY(),"Réussi","Examen expiré")</f>
        <v>Réussi</v>
      </c>
      <c r="AB113" s="6">
        <f t="shared" si="49"/>
        <v>46500</v>
      </c>
      <c r="AC113" s="46" t="e">
        <f t="shared" ca="1" si="50"/>
        <v>#VALUE!</v>
      </c>
      <c r="AD113" s="143"/>
    </row>
    <row r="114" spans="2:30" ht="48" x14ac:dyDescent="0.35">
      <c r="B114" s="52" t="s">
        <v>353</v>
      </c>
      <c r="C114" s="50" t="s">
        <v>354</v>
      </c>
      <c r="D114" s="52" t="s">
        <v>56</v>
      </c>
      <c r="E114" s="86"/>
      <c r="F114" s="65" t="str">
        <f ca="1">IF(Tableau3[[#This Row],[Date d''expiration ]]&gt;TODAY()+31,"✅",IF(Tableau3[[#This Row],[Date d''expiration ]]&gt; TODAY()+1, "⚠️","⛔️"))</f>
        <v>✅</v>
      </c>
      <c r="G114" s="21">
        <f t="shared" si="43"/>
        <v>46341</v>
      </c>
      <c r="H114" s="40" t="str">
        <f ca="1">IF( Tableau3[[#This Row],[Date d''expiration ]]&gt;TODAY(),"Néant","Cas à justifier")</f>
        <v>Néant</v>
      </c>
      <c r="I114" s="20">
        <v>33608</v>
      </c>
      <c r="J114" s="75">
        <f t="shared" ref="J114:J143" ca="1" si="51">YEARFRAC(I114,TODAY(),1)</f>
        <v>34.668726533166456</v>
      </c>
      <c r="K114" s="75">
        <f>YEARFRAC(I114,RG_DRH_S1_008!$E$4,1)</f>
        <v>33.986311297205894</v>
      </c>
      <c r="L114" s="75">
        <f>YEARFRAC(I114,RG_DRH_S1_008!$E$5,1)</f>
        <v>34.986311013767207</v>
      </c>
      <c r="M114" s="3" t="s">
        <v>237</v>
      </c>
      <c r="N114" s="3" t="s">
        <v>173</v>
      </c>
      <c r="O114" s="3" t="s">
        <v>268</v>
      </c>
      <c r="P114" s="42">
        <v>45187</v>
      </c>
      <c r="Q114" s="41" t="s">
        <v>47</v>
      </c>
      <c r="R114" s="76">
        <f t="shared" si="45"/>
        <v>31.701574264202602</v>
      </c>
      <c r="S114" s="19" t="str">
        <f>IF(L114&lt;40,"4",IF(L114&lt;50,"3",IF(L114&lt;55,IF(Tableau3[[#This Row],[Fonction]]="Conducteur de ligne","2","3"),"1")))</f>
        <v>4</v>
      </c>
      <c r="T114" s="6">
        <f t="shared" si="46"/>
        <v>46648</v>
      </c>
      <c r="U114" s="42">
        <v>45194</v>
      </c>
      <c r="V114" s="41" t="s">
        <v>48</v>
      </c>
      <c r="W114" s="75">
        <f t="shared" si="47"/>
        <v>31.720739219712527</v>
      </c>
      <c r="X114" s="6" t="str">
        <f>IF(L114&lt;40,"4",IF(L114&lt;55,"3",IF(Tableau3[[#This Row],[Fonction]]="conducteur de ligne","1","2")))</f>
        <v>4</v>
      </c>
      <c r="Y114" s="6">
        <f t="shared" ref="Y114:Y143" si="52">EDATE(U114, (12*X114))</f>
        <v>46655</v>
      </c>
      <c r="Z114" s="42">
        <v>45976</v>
      </c>
      <c r="AA114" s="3" t="str">
        <f ca="1">IF(Tableau3[[#This Row],[Date prochaine évaluation]]&gt; TODAY(),"Réussi","Examen expiré")</f>
        <v>Réussi</v>
      </c>
      <c r="AB114" s="6">
        <f t="shared" si="49"/>
        <v>46341</v>
      </c>
      <c r="AC114" s="46" t="e">
        <f t="shared" ca="1" si="50"/>
        <v>#VALUE!</v>
      </c>
      <c r="AD114" s="143"/>
    </row>
    <row r="115" spans="2:30" ht="48" x14ac:dyDescent="0.35">
      <c r="B115" s="52" t="s">
        <v>355</v>
      </c>
      <c r="C115" s="50" t="s">
        <v>356</v>
      </c>
      <c r="D115" s="52" t="s">
        <v>56</v>
      </c>
      <c r="E115" s="86"/>
      <c r="F115" s="65" t="str">
        <f ca="1">IF(Tableau3[[#This Row],[Date d''expiration ]]&gt;TODAY()+31,"✅",IF(Tableau3[[#This Row],[Date d''expiration ]]&gt; TODAY()+1, "⚠️","⛔️"))</f>
        <v>✅</v>
      </c>
      <c r="G115" s="21">
        <f t="shared" si="43"/>
        <v>46570</v>
      </c>
      <c r="H115" s="134" t="s">
        <v>156</v>
      </c>
      <c r="I115" s="20">
        <v>34942</v>
      </c>
      <c r="J115" s="75">
        <f t="shared" ca="1" si="51"/>
        <v>31.017111567419576</v>
      </c>
      <c r="K115" s="75">
        <f>YEARFRAC(I115,RG_DRH_S1_008!$E$4,1)</f>
        <v>30.334716947805351</v>
      </c>
      <c r="L115" s="75">
        <f>YEARFRAC(I115,RG_DRH_S1_008!$E$5,1)</f>
        <v>31.3347022587269</v>
      </c>
      <c r="M115" s="3" t="s">
        <v>237</v>
      </c>
      <c r="N115" s="3" t="s">
        <v>173</v>
      </c>
      <c r="O115" s="3" t="s">
        <v>268</v>
      </c>
      <c r="P115" s="42">
        <v>45744</v>
      </c>
      <c r="Q115" s="41" t="s">
        <v>47</v>
      </c>
      <c r="R115" s="76">
        <f t="shared" si="45"/>
        <v>29.57361123377197</v>
      </c>
      <c r="S115" s="19" t="str">
        <f>IF(L115&lt;40,"4",IF(L115&lt;50,"3",IF(L115&lt;55,IF(Tableau3[[#This Row],[Fonction]]="Conducteur de ligne","2","3"),"1")))</f>
        <v>4</v>
      </c>
      <c r="T115" s="6">
        <f t="shared" si="46"/>
        <v>47205</v>
      </c>
      <c r="U115" s="42">
        <v>45729</v>
      </c>
      <c r="V115" s="41" t="s">
        <v>48</v>
      </c>
      <c r="W115" s="75">
        <f t="shared" si="47"/>
        <v>29.532544378698226</v>
      </c>
      <c r="X115" s="6" t="str">
        <f>IF(L115&lt;40,"4",IF(L115&lt;55,"3",IF(Tableau3[[#This Row],[Fonction]]="conducteur de ligne","1","2")))</f>
        <v>4</v>
      </c>
      <c r="Y115" s="6">
        <f t="shared" si="52"/>
        <v>47190</v>
      </c>
      <c r="Z115" s="42">
        <v>46205</v>
      </c>
      <c r="AA115" s="3" t="str">
        <f ca="1">IF(Tableau3[[#This Row],[Date prochaine évaluation]]&gt; TODAY(),"Réussi","Examen expiré")</f>
        <v>Réussi</v>
      </c>
      <c r="AB115" s="6">
        <f t="shared" si="49"/>
        <v>46570</v>
      </c>
      <c r="AC115" s="46" t="e">
        <f t="shared" ca="1" si="50"/>
        <v>#VALUE!</v>
      </c>
      <c r="AD115" s="143"/>
    </row>
    <row r="116" spans="2:30" ht="48" x14ac:dyDescent="0.35">
      <c r="B116" s="41" t="s">
        <v>357</v>
      </c>
      <c r="C116" s="51" t="s">
        <v>358</v>
      </c>
      <c r="D116" s="41" t="s">
        <v>56</v>
      </c>
      <c r="E116" s="39"/>
      <c r="F116" s="65" t="str">
        <f ca="1">IF(Tableau3[[#This Row],[Date d''expiration ]]&gt;TODAY()+31,"✅",IF(Tableau3[[#This Row],[Date d''expiration ]]&gt; TODAY()+1, "⚠️","⛔️"))</f>
        <v>✅</v>
      </c>
      <c r="G116" s="6">
        <f t="shared" si="43"/>
        <v>46590</v>
      </c>
      <c r="H116" s="40" t="str">
        <f ca="1">IF( Tableau3[[#This Row],[Date d''expiration ]]&gt;TODAY(),"Néant","Cas à justifier")</f>
        <v>Néant</v>
      </c>
      <c r="I116" s="32">
        <v>35918</v>
      </c>
      <c r="J116" s="75">
        <f t="shared" ca="1" si="51"/>
        <v>28.345638217522659</v>
      </c>
      <c r="K116" s="75">
        <f>YEARFRAC(I116,RG_DRH_S1_008!$E$4,1)</f>
        <v>27.663244353182751</v>
      </c>
      <c r="L116" s="75">
        <f>YEARFRAC(I116,RG_DRH_S1_008!$E$5,1)</f>
        <v>28.663236404833835</v>
      </c>
      <c r="M116" s="3" t="s">
        <v>237</v>
      </c>
      <c r="N116" s="3" t="s">
        <v>173</v>
      </c>
      <c r="O116" s="3" t="s">
        <v>268</v>
      </c>
      <c r="P116" s="42">
        <v>45615</v>
      </c>
      <c r="Q116" s="41" t="s">
        <v>47</v>
      </c>
      <c r="R116" s="76">
        <f t="shared" si="45"/>
        <v>26.548266071790714</v>
      </c>
      <c r="S116" s="19" t="str">
        <f>IF(L116&lt;40,"4",IF(L116&lt;50,"3",IF(L116&lt;55,IF(Tableau3[[#This Row],[Fonction]]="Conducteur de ligne","2","3"),"1")))</f>
        <v>4</v>
      </c>
      <c r="T116" s="6">
        <f t="shared" si="46"/>
        <v>47076</v>
      </c>
      <c r="U116" s="42">
        <v>45252</v>
      </c>
      <c r="V116" s="41" t="s">
        <v>48</v>
      </c>
      <c r="W116" s="75">
        <f t="shared" si="47"/>
        <v>25.556444818871103</v>
      </c>
      <c r="X116" s="6" t="str">
        <f>IF(L116&lt;40,"4",IF(L116&lt;55,"3",IF(Tableau3[[#This Row],[Fonction]]="conducteur de ligne","1","2")))</f>
        <v>4</v>
      </c>
      <c r="Y116" s="6">
        <f t="shared" si="52"/>
        <v>46713</v>
      </c>
      <c r="Z116" s="42">
        <v>46225</v>
      </c>
      <c r="AA116" s="3" t="str">
        <f ca="1">IF(Tableau3[[#This Row],[Date prochaine évaluation]]&gt; TODAY(),"Réussi","Examen expiré")</f>
        <v>Réussi</v>
      </c>
      <c r="AB116" s="6">
        <f t="shared" si="49"/>
        <v>46590</v>
      </c>
      <c r="AC116" s="46" t="e">
        <f t="shared" ca="1" si="50"/>
        <v>#VALUE!</v>
      </c>
      <c r="AD116" s="143"/>
    </row>
    <row r="117" spans="2:30" ht="48" hidden="1" x14ac:dyDescent="0.35">
      <c r="B117" s="52" t="s">
        <v>359</v>
      </c>
      <c r="C117" s="52" t="s">
        <v>360</v>
      </c>
      <c r="D117" s="52" t="s">
        <v>56</v>
      </c>
      <c r="E117" s="86"/>
      <c r="F117" s="65" t="str">
        <f ca="1">IF(Tableau3[[#This Row],[Date d''expiration ]]&gt;TODAY()+31,"✅",IF(Tableau3[[#This Row],[Date d''expiration ]]&gt; TODAY()+1, "⚠️","⛔️"))</f>
        <v>✅</v>
      </c>
      <c r="G117" s="21">
        <f t="shared" si="43"/>
        <v>46366</v>
      </c>
      <c r="H117" s="40" t="str">
        <f ca="1">IF( Tableau3[[#This Row],[Date d''expiration ]]&gt;TODAY(),"Néant","Cas à justifier")</f>
        <v>Néant</v>
      </c>
      <c r="I117" s="21">
        <v>24789</v>
      </c>
      <c r="J117" s="81">
        <f t="shared" ca="1" si="51"/>
        <v>58.814510609171798</v>
      </c>
      <c r="K117" s="75">
        <f>YEARFRAC(I117,RG_DRH_S1_008!$E$4,1)</f>
        <v>58.132111368909513</v>
      </c>
      <c r="L117" s="75">
        <f>YEARFRAC(I117,RG_DRH_S1_008!$E$5,1)</f>
        <v>59.132101300479121</v>
      </c>
      <c r="M117" s="3" t="s">
        <v>44</v>
      </c>
      <c r="N117" s="3" t="s">
        <v>173</v>
      </c>
      <c r="O117" s="3" t="s">
        <v>268</v>
      </c>
      <c r="P117" s="42">
        <v>46001</v>
      </c>
      <c r="Q117" s="41" t="s">
        <v>47</v>
      </c>
      <c r="R117" s="76">
        <f t="shared" si="45"/>
        <v>58.074617169373553</v>
      </c>
      <c r="S117" s="19" t="str">
        <f>IF(L117&lt;40,"4",IF(L117&lt;50,"3",IF(L117&lt;55,IF(Tableau3[[#This Row],[Fonction]]="Conducteur de ligne","2","3"),"1")))</f>
        <v>1</v>
      </c>
      <c r="T117" s="6">
        <f t="shared" si="46"/>
        <v>46366</v>
      </c>
      <c r="U117" s="42">
        <v>46366</v>
      </c>
      <c r="V117" s="41" t="s">
        <v>48</v>
      </c>
      <c r="W117" s="75">
        <f t="shared" si="47"/>
        <v>59.074606433949349</v>
      </c>
      <c r="X117" s="6" t="str">
        <f>IF(L117&lt;40,"4",IF(L117&lt;55,"3",IF(Tableau3[[#This Row],[Fonction]]="conducteur de ligne","1","2")))</f>
        <v>1</v>
      </c>
      <c r="Y117" s="6">
        <f t="shared" si="52"/>
        <v>46731</v>
      </c>
      <c r="Z117" s="42">
        <v>46378</v>
      </c>
      <c r="AA117" s="3" t="str">
        <f ca="1">IF(Tableau3[[#This Row],[Date prochaine évaluation]]&gt; TODAY(),"Réussi","Examen expiré")</f>
        <v>Réussi</v>
      </c>
      <c r="AB117" s="6">
        <f t="shared" ref="AB117:AB143" si="53">EDATE(Z117, 12)</f>
        <v>46743</v>
      </c>
      <c r="AC117" s="46" t="e">
        <f t="shared" ca="1" si="50"/>
        <v>#VALUE!</v>
      </c>
      <c r="AD117" s="143"/>
    </row>
    <row r="118" spans="2:30" ht="48" x14ac:dyDescent="0.35">
      <c r="B118" s="41" t="s">
        <v>361</v>
      </c>
      <c r="C118" s="53" t="s">
        <v>362</v>
      </c>
      <c r="D118" s="41" t="s">
        <v>56</v>
      </c>
      <c r="E118" s="39"/>
      <c r="F118" s="65" t="str">
        <f ca="1">IF(Tableau3[[#This Row],[Date d''expiration ]]&gt;TODAY()+31,"✅",IF(Tableau3[[#This Row],[Date d''expiration ]]&gt; TODAY()+1, "⚠️","⛔️"))</f>
        <v>✅</v>
      </c>
      <c r="G118" s="6">
        <f t="shared" si="43"/>
        <v>46587</v>
      </c>
      <c r="H118" s="40" t="str">
        <f ca="1">IF( Tableau3[[#This Row],[Date d''expiration ]]&gt;TODAY(),"Néant","Cas à justifier")</f>
        <v>Néant</v>
      </c>
      <c r="I118" s="7">
        <v>37644</v>
      </c>
      <c r="J118" s="75">
        <f t="shared" ca="1" si="51"/>
        <v>23.619438740588638</v>
      </c>
      <c r="K118" s="75">
        <f>YEARFRAC(I118,RG_DRH_S1_008!$E$4,1)</f>
        <v>22.937031305796928</v>
      </c>
      <c r="L118" s="75">
        <f>YEARFRAC(I118,RG_DRH_S1_008!$E$5,1)</f>
        <v>23.937029431895962</v>
      </c>
      <c r="M118" s="3" t="s">
        <v>237</v>
      </c>
      <c r="N118" s="3" t="s">
        <v>173</v>
      </c>
      <c r="O118" s="3" t="s">
        <v>268</v>
      </c>
      <c r="P118" s="42">
        <v>45533</v>
      </c>
      <c r="Q118" s="41" t="s">
        <v>47</v>
      </c>
      <c r="R118" s="76">
        <f t="shared" si="45"/>
        <v>21.597560975609756</v>
      </c>
      <c r="S118" s="19" t="str">
        <f>IF(L118&lt;40,"4",IF(L118&lt;50,"3",IF(L118&lt;55,IF(Tableau3[[#This Row],[Fonction]]="Conducteur de ligne","2","3"),"1")))</f>
        <v>4</v>
      </c>
      <c r="T118" s="6">
        <f t="shared" si="46"/>
        <v>46994</v>
      </c>
      <c r="U118" s="42">
        <v>45246</v>
      </c>
      <c r="V118" s="41" t="s">
        <v>48</v>
      </c>
      <c r="W118" s="75">
        <f t="shared" si="47"/>
        <v>20.813820078226858</v>
      </c>
      <c r="X118" s="6" t="str">
        <f>IF(L118&lt;40,"4",IF(L118&lt;55,"3",IF(Tableau3[[#This Row],[Fonction]]="conducteur de ligne","1","2")))</f>
        <v>4</v>
      </c>
      <c r="Y118" s="6">
        <f t="shared" si="52"/>
        <v>46707</v>
      </c>
      <c r="Z118" s="42">
        <v>46222</v>
      </c>
      <c r="AA118" s="3" t="str">
        <f ca="1">IF(Tableau3[[#This Row],[Date prochaine évaluation]]&gt; TODAY(),"Réussi","Examen expiré")</f>
        <v>Réussi</v>
      </c>
      <c r="AB118" s="6">
        <f t="shared" si="53"/>
        <v>46587</v>
      </c>
      <c r="AC118" s="46" t="e">
        <f t="shared" ca="1" si="50"/>
        <v>#VALUE!</v>
      </c>
      <c r="AD118" s="143"/>
    </row>
    <row r="119" spans="2:30" ht="34.5" x14ac:dyDescent="0.35">
      <c r="B119" s="52" t="s">
        <v>363</v>
      </c>
      <c r="C119" s="52" t="s">
        <v>364</v>
      </c>
      <c r="D119" s="52" t="s">
        <v>56</v>
      </c>
      <c r="E119" s="86"/>
      <c r="F119" s="65" t="str">
        <f ca="1">IF(Tableau3[[#This Row],[Date d''expiration ]]&gt;TODAY()+31,"✅",IF(Tableau3[[#This Row],[Date d''expiration ]]&gt; TODAY()+1, "⚠️","⛔️"))</f>
        <v>✅</v>
      </c>
      <c r="G119" s="21">
        <f t="shared" si="43"/>
        <v>46567</v>
      </c>
      <c r="H119" s="40" t="str">
        <f ca="1">IF( Tableau3[[#This Row],[Date d''expiration ]]&gt;TODAY(),"Néant","Cas à justifier")</f>
        <v>Néant</v>
      </c>
      <c r="I119" s="21">
        <v>36694</v>
      </c>
      <c r="J119" s="75">
        <f t="shared" ca="1" si="51"/>
        <v>26.219732305820322</v>
      </c>
      <c r="K119" s="75">
        <f>YEARFRAC(I119,RG_DRH_S1_008!$E$4,1)</f>
        <v>25.53732757712962</v>
      </c>
      <c r="L119" s="75">
        <f>YEARFRAC(I119,RG_DRH_S1_008!$E$5,1)</f>
        <v>26.537314946258366</v>
      </c>
      <c r="M119" s="3" t="s">
        <v>237</v>
      </c>
      <c r="N119" s="3" t="s">
        <v>80</v>
      </c>
      <c r="O119" s="3" t="s">
        <v>81</v>
      </c>
      <c r="P119" s="42">
        <v>45611</v>
      </c>
      <c r="Q119" s="41" t="s">
        <v>47</v>
      </c>
      <c r="R119" s="76">
        <f t="shared" si="45"/>
        <v>24.411410424879545</v>
      </c>
      <c r="S119" s="19" t="str">
        <f>IF(L119&lt;40,"4",IF(L119&lt;50,"3",IF(L119&lt;55,IF(Tableau3[[#This Row],[Fonction]]="Conducteur de ligne","2","3"),"1")))</f>
        <v>4</v>
      </c>
      <c r="T119" s="6">
        <f t="shared" si="46"/>
        <v>47072</v>
      </c>
      <c r="U119" s="42">
        <v>45253</v>
      </c>
      <c r="V119" s="41" t="s">
        <v>48</v>
      </c>
      <c r="W119" s="75">
        <f t="shared" si="47"/>
        <v>23.433264887063654</v>
      </c>
      <c r="X119" s="6" t="str">
        <f>IF(L119&lt;40,"4",IF(L119&lt;55,"3",IF(Tableau3[[#This Row],[Fonction]]="conducteur de ligne","1","2")))</f>
        <v>4</v>
      </c>
      <c r="Y119" s="6">
        <f t="shared" si="52"/>
        <v>46714</v>
      </c>
      <c r="Z119" s="42">
        <v>46202</v>
      </c>
      <c r="AA119" s="3" t="str">
        <f ca="1">IF(Tableau3[[#This Row],[Date prochaine évaluation]]&gt; TODAY(),"Réussi","Examen expiré")</f>
        <v>Réussi</v>
      </c>
      <c r="AB119" s="6">
        <f t="shared" si="53"/>
        <v>46567</v>
      </c>
      <c r="AC119" s="46" t="e">
        <f t="shared" ca="1" si="50"/>
        <v>#VALUE!</v>
      </c>
      <c r="AD119" s="143"/>
    </row>
    <row r="120" spans="2:30" ht="34.5" x14ac:dyDescent="0.35">
      <c r="B120" s="52" t="s">
        <v>366</v>
      </c>
      <c r="C120" s="50" t="s">
        <v>367</v>
      </c>
      <c r="D120" s="52" t="s">
        <v>56</v>
      </c>
      <c r="E120" s="86"/>
      <c r="F120" s="65" t="str">
        <f ca="1">IF(Tableau3[[#This Row],[Date d''expiration ]]&gt;TODAY()+31,"✅",IF(Tableau3[[#This Row],[Date d''expiration ]]&gt; TODAY()+1, "⚠️","⛔️"))</f>
        <v>⛔️</v>
      </c>
      <c r="G120" s="21">
        <f t="shared" si="43"/>
        <v>46228</v>
      </c>
      <c r="H120" s="40" t="str">
        <f ca="1">IF( Tableau3[[#This Row],[Date d''expiration ]]&gt;TODAY(),"Néant","Cas à justifier")</f>
        <v>Cas à justifier</v>
      </c>
      <c r="I120" s="20">
        <v>37222</v>
      </c>
      <c r="J120" s="75">
        <f t="shared" ca="1" si="51"/>
        <v>24.776116259477675</v>
      </c>
      <c r="K120" s="75">
        <f>YEARFRAC(I120,RG_DRH_S1_008!$E$4,1)</f>
        <v>24.093746577592814</v>
      </c>
      <c r="L120" s="75">
        <f>YEARFRAC(I120,RG_DRH_S1_008!$E$5,1)</f>
        <v>25.093723673125528</v>
      </c>
      <c r="M120" s="3" t="s">
        <v>237</v>
      </c>
      <c r="N120" s="3" t="s">
        <v>80</v>
      </c>
      <c r="O120" s="3" t="s">
        <v>81</v>
      </c>
      <c r="P120" s="42">
        <v>45534</v>
      </c>
      <c r="Q120" s="41" t="s">
        <v>47</v>
      </c>
      <c r="R120" s="76">
        <f t="shared" si="45"/>
        <v>22.757015742642025</v>
      </c>
      <c r="S120" s="19" t="str">
        <f>IF(L120&lt;40,"4",IF(L120&lt;50,"3",IF(L120&lt;55,IF(Tableau3[[#This Row],[Fonction]]="Conducteur de ligne","2","3"),"1")))</f>
        <v>4</v>
      </c>
      <c r="T120" s="6">
        <f t="shared" ref="T120:T143" si="54">EDATE(P120, (12*S120))</f>
        <v>46995</v>
      </c>
      <c r="U120" s="42">
        <v>45253</v>
      </c>
      <c r="V120" s="41" t="s">
        <v>48</v>
      </c>
      <c r="W120" s="75">
        <f t="shared" si="47"/>
        <v>21.989642857142858</v>
      </c>
      <c r="X120" s="6" t="str">
        <f>IF(L120&lt;40,"4",IF(L120&lt;55,"3",IF(Tableau3[[#This Row],[Fonction]]="conducteur de ligne","1","2")))</f>
        <v>4</v>
      </c>
      <c r="Y120" s="6">
        <f t="shared" si="52"/>
        <v>46714</v>
      </c>
      <c r="Z120" s="42">
        <v>45863</v>
      </c>
      <c r="AA120" s="3" t="str">
        <f ca="1">IF(Tableau3[[#This Row],[Date prochaine évaluation]]&gt; TODAY(),"Réussi","Examen expiré")</f>
        <v>Examen expiré</v>
      </c>
      <c r="AB120" s="6">
        <f t="shared" si="53"/>
        <v>46228</v>
      </c>
      <c r="AC120" s="46" t="e">
        <f t="shared" ca="1" si="50"/>
        <v>#VALUE!</v>
      </c>
      <c r="AD120" s="143"/>
    </row>
    <row r="121" spans="2:30" ht="48" x14ac:dyDescent="0.35">
      <c r="B121" s="41" t="s">
        <v>368</v>
      </c>
      <c r="C121" s="53" t="s">
        <v>369</v>
      </c>
      <c r="D121" s="41" t="s">
        <v>56</v>
      </c>
      <c r="E121" s="39"/>
      <c r="F121" s="65" t="str">
        <f ca="1">IF(Tableau3[[#This Row],[Date d''expiration ]]&gt;TODAY()+31,"✅",IF(Tableau3[[#This Row],[Date d''expiration ]]&gt; TODAY()+1, "⚠️","⛔️"))</f>
        <v>✅</v>
      </c>
      <c r="G121" s="6">
        <f t="shared" si="43"/>
        <v>46473</v>
      </c>
      <c r="H121" s="40" t="str">
        <f ca="1">IF( Tableau3[[#This Row],[Date d''expiration ]]&gt;TODAY(),"Néant","Cas à justifier")</f>
        <v>Néant</v>
      </c>
      <c r="I121" s="7">
        <v>36083</v>
      </c>
      <c r="J121" s="75">
        <f t="shared" ca="1" si="51"/>
        <v>27.893882175226587</v>
      </c>
      <c r="K121" s="75">
        <f>YEARFRAC(I121,RG_DRH_S1_008!$E$4,1)</f>
        <v>27.211498973305954</v>
      </c>
      <c r="L121" s="75">
        <f>YEARFRAC(I121,RG_DRH_S1_008!$E$5,1)</f>
        <v>28.211480362537763</v>
      </c>
      <c r="M121" s="3" t="s">
        <v>237</v>
      </c>
      <c r="N121" s="3" t="s">
        <v>173</v>
      </c>
      <c r="O121" s="3" t="s">
        <v>268</v>
      </c>
      <c r="P121" s="42">
        <v>46175</v>
      </c>
      <c r="Q121" s="41" t="s">
        <v>47</v>
      </c>
      <c r="R121" s="76">
        <f t="shared" si="45"/>
        <v>27.631042296072508</v>
      </c>
      <c r="S121" s="19" t="str">
        <f>IF(L121&lt;40,"4",IF(L121&lt;50,"3",IF(L121&lt;55,IF(Tableau3[[#This Row],[Fonction]]="Conducteur de ligne","2","3"),"1")))</f>
        <v>4</v>
      </c>
      <c r="T121" s="6">
        <f t="shared" si="54"/>
        <v>47636</v>
      </c>
      <c r="U121" s="42">
        <v>45987</v>
      </c>
      <c r="V121" s="41" t="s">
        <v>48</v>
      </c>
      <c r="W121" s="75">
        <f t="shared" si="47"/>
        <v>27.115674195756331</v>
      </c>
      <c r="X121" s="6" t="str">
        <f>IF(L121&lt;40,"4",IF(L121&lt;55,"3",IF(Tableau3[[#This Row],[Fonction]]="conducteur de ligne","1","2")))</f>
        <v>4</v>
      </c>
      <c r="Y121" s="6">
        <f>EDATE(U121, (12*X121))</f>
        <v>47448</v>
      </c>
      <c r="Z121" s="42">
        <v>46108</v>
      </c>
      <c r="AA121" s="3" t="str">
        <f ca="1">IF(Tableau3[[#This Row],[Date prochaine évaluation]]&gt; TODAY(),"Réussi","Examen expiré")</f>
        <v>Réussi</v>
      </c>
      <c r="AB121" s="6">
        <f t="shared" si="53"/>
        <v>46473</v>
      </c>
      <c r="AC121" s="46" t="e">
        <f t="shared" ca="1" si="50"/>
        <v>#VALUE!</v>
      </c>
      <c r="AD121" s="143"/>
    </row>
    <row r="122" spans="2:30" ht="48" x14ac:dyDescent="0.35">
      <c r="B122" s="41" t="s">
        <v>371</v>
      </c>
      <c r="C122" s="53" t="s">
        <v>372</v>
      </c>
      <c r="D122" s="41" t="s">
        <v>56</v>
      </c>
      <c r="E122" s="39"/>
      <c r="F122" s="65" t="str">
        <f ca="1">IF(Tableau3[[#This Row],[Date d''expiration ]]&gt;TODAY()+31,"✅",IF(Tableau3[[#This Row],[Date d''expiration ]]&gt; TODAY()+1, "⚠️","⛔️"))</f>
        <v>✅</v>
      </c>
      <c r="G122" s="6">
        <f t="shared" si="43"/>
        <v>46359</v>
      </c>
      <c r="H122" s="100" t="s">
        <v>373</v>
      </c>
      <c r="I122" s="7">
        <v>35938</v>
      </c>
      <c r="J122" s="75">
        <f t="shared" ca="1" si="51"/>
        <v>28.290879909365557</v>
      </c>
      <c r="K122" s="75">
        <f>YEARFRAC(I122,RG_DRH_S1_008!$E$4,1)</f>
        <v>27.60848733744011</v>
      </c>
      <c r="L122" s="75">
        <f>YEARFRAC(I122,RG_DRH_S1_008!$E$5,1)</f>
        <v>28.608478096676738</v>
      </c>
      <c r="M122" s="3" t="s">
        <v>237</v>
      </c>
      <c r="N122" s="3" t="s">
        <v>173</v>
      </c>
      <c r="O122" s="3" t="s">
        <v>268</v>
      </c>
      <c r="P122" s="42">
        <v>45938</v>
      </c>
      <c r="Q122" s="41" t="s">
        <v>47</v>
      </c>
      <c r="R122" s="76">
        <f t="shared" si="45"/>
        <v>27.378507871321013</v>
      </c>
      <c r="S122" s="19" t="str">
        <f>IF(L122&lt;40,"4",IF(L122&lt;50,"3",IF(L122&lt;55,IF(Tableau3[[#This Row],[Fonction]]="Conducteur de ligne","2","3"),"1")))</f>
        <v>4</v>
      </c>
      <c r="T122" s="6">
        <f t="shared" si="54"/>
        <v>47399</v>
      </c>
      <c r="U122" s="42">
        <v>45938</v>
      </c>
      <c r="V122" s="41" t="s">
        <v>48</v>
      </c>
      <c r="W122" s="75">
        <f t="shared" si="47"/>
        <v>27.378507871321013</v>
      </c>
      <c r="X122" s="6" t="str">
        <f>IF(L122&lt;40,"4",IF(L122&lt;55,"3",IF(Tableau3[[#This Row],[Fonction]]="conducteur de ligne","1","2")))</f>
        <v>4</v>
      </c>
      <c r="Y122" s="6">
        <f t="shared" si="52"/>
        <v>47399</v>
      </c>
      <c r="Z122" s="42">
        <v>45994</v>
      </c>
      <c r="AA122" s="3" t="str">
        <f ca="1">IF(Tableau3[[#This Row],[Date prochaine évaluation]]&gt; TODAY(),"Réussi","Examen expiré")</f>
        <v>Réussi</v>
      </c>
      <c r="AB122" s="6">
        <f t="shared" si="53"/>
        <v>46359</v>
      </c>
      <c r="AC122" s="46" t="e">
        <f t="shared" ca="1" si="50"/>
        <v>#VALUE!</v>
      </c>
      <c r="AD122" s="143"/>
    </row>
    <row r="123" spans="2:30" ht="48" x14ac:dyDescent="0.35">
      <c r="B123" s="52" t="s">
        <v>374</v>
      </c>
      <c r="C123" s="50" t="s">
        <v>375</v>
      </c>
      <c r="D123" s="52" t="s">
        <v>56</v>
      </c>
      <c r="E123" s="86"/>
      <c r="F123" s="65" t="str">
        <f ca="1">IF(Tableau3[[#This Row],[Date d''expiration ]]&gt;TODAY()+31,"✅",IF(Tableau3[[#This Row],[Date d''expiration ]]&gt; TODAY()+1, "⚠️","⛔️"))</f>
        <v>⚠️</v>
      </c>
      <c r="G123" s="21">
        <f t="shared" si="43"/>
        <v>46297</v>
      </c>
      <c r="H123" s="40" t="str">
        <f ca="1">IF( Tableau3[[#This Row],[Date d''expiration ]]&gt;TODAY(),"Néant","Cas à justifier")</f>
        <v>Néant</v>
      </c>
      <c r="I123" s="20">
        <v>37121</v>
      </c>
      <c r="J123" s="75">
        <f t="shared" ca="1" si="51"/>
        <v>25.052653748946927</v>
      </c>
      <c r="K123" s="75">
        <f>YEARFRAC(I123,RG_DRH_S1_008!$E$4,1)</f>
        <v>24.370277078085643</v>
      </c>
      <c r="L123" s="75">
        <f>YEARFRAC(I123,RG_DRH_S1_008!$E$5,1)</f>
        <v>25.370261162594776</v>
      </c>
      <c r="M123" s="3" t="s">
        <v>237</v>
      </c>
      <c r="N123" s="3" t="s">
        <v>131</v>
      </c>
      <c r="O123" s="3" t="s">
        <v>268</v>
      </c>
      <c r="P123" s="42">
        <v>45455</v>
      </c>
      <c r="Q123" s="41" t="s">
        <v>47</v>
      </c>
      <c r="R123" s="76">
        <f t="shared" si="45"/>
        <v>22.817248459958932</v>
      </c>
      <c r="S123" s="19" t="str">
        <f>IF(L123&lt;40,"4",IF(L123&lt;50,"3",IF(L123&lt;55,IF(Tableau3[[#This Row],[Fonction]]="Conducteur de ligne","2","3"),"1")))</f>
        <v>4</v>
      </c>
      <c r="T123" s="6">
        <f t="shared" si="54"/>
        <v>46916</v>
      </c>
      <c r="U123" s="42">
        <v>45021</v>
      </c>
      <c r="V123" s="41" t="s">
        <v>48</v>
      </c>
      <c r="W123" s="75">
        <f t="shared" si="47"/>
        <v>21.630952380952383</v>
      </c>
      <c r="X123" s="6" t="str">
        <f>IF(L123&lt;40,"4",IF(L123&lt;55,"3",IF(Tableau3[[#This Row],[Fonction]]="conducteur de ligne","1","2")))</f>
        <v>4</v>
      </c>
      <c r="Y123" s="6">
        <f t="shared" si="52"/>
        <v>46482</v>
      </c>
      <c r="Z123" s="42">
        <v>45932</v>
      </c>
      <c r="AA123" s="3" t="str">
        <f ca="1">IF(Tableau3[[#This Row],[Date prochaine évaluation]]&gt; TODAY(),"Réussi","Examen expiré")</f>
        <v>Réussi</v>
      </c>
      <c r="AB123" s="6">
        <f t="shared" si="53"/>
        <v>46297</v>
      </c>
      <c r="AC123" s="46" t="e">
        <f t="shared" ca="1" si="50"/>
        <v>#VALUE!</v>
      </c>
      <c r="AD123" s="143"/>
    </row>
    <row r="124" spans="2:30" ht="48" x14ac:dyDescent="0.35">
      <c r="B124" s="41" t="s">
        <v>376</v>
      </c>
      <c r="C124" s="53" t="s">
        <v>377</v>
      </c>
      <c r="D124" s="41" t="s">
        <v>56</v>
      </c>
      <c r="E124" s="39"/>
      <c r="F124" s="65" t="str">
        <f ca="1">IF(Tableau3[[#This Row],[Date d''expiration ]]&gt;TODAY()+31,"✅",IF(Tableau3[[#This Row],[Date d''expiration ]]&gt; TODAY()+1, "⚠️","⛔️"))</f>
        <v>⛔️</v>
      </c>
      <c r="G124" s="6">
        <f t="shared" si="43"/>
        <v>46272</v>
      </c>
      <c r="H124" s="40" t="str">
        <f ca="1">IF( Tableau3[[#This Row],[Date d''expiration ]]&gt;TODAY(),"Néant","Cas à justifier")</f>
        <v>Néant</v>
      </c>
      <c r="I124" s="7">
        <v>36079</v>
      </c>
      <c r="J124" s="75">
        <f t="shared" ca="1" si="51"/>
        <v>27.904833836858007</v>
      </c>
      <c r="K124" s="75">
        <f>YEARFRAC(I124,RG_DRH_S1_008!$E$4,1)</f>
        <v>27.222450376454482</v>
      </c>
      <c r="L124" s="75">
        <f>YEARFRAC(I124,RG_DRH_S1_008!$E$5,1)</f>
        <v>28.222432024169184</v>
      </c>
      <c r="M124" s="3" t="s">
        <v>237</v>
      </c>
      <c r="N124" s="3" t="s">
        <v>173</v>
      </c>
      <c r="O124" s="3" t="s">
        <v>268</v>
      </c>
      <c r="P124" s="42">
        <v>45182</v>
      </c>
      <c r="Q124" s="41" t="s">
        <v>47</v>
      </c>
      <c r="R124" s="76">
        <f t="shared" si="45"/>
        <v>24.92396798652064</v>
      </c>
      <c r="S124" s="19" t="str">
        <f>IF(L124&lt;40,"4",IF(L124&lt;50,"3",IF(L124&lt;55,IF(Tableau3[[#This Row],[Fonction]]="Conducteur de ligne","2","3"),"1")))</f>
        <v>4</v>
      </c>
      <c r="T124" s="6">
        <f t="shared" si="54"/>
        <v>46643</v>
      </c>
      <c r="U124" s="42">
        <v>44811</v>
      </c>
      <c r="V124" s="41" t="s">
        <v>48</v>
      </c>
      <c r="W124" s="75">
        <f t="shared" si="47"/>
        <v>23.90756762676596</v>
      </c>
      <c r="X124" s="6" t="str">
        <f>IF(L124&lt;40,"4",IF(L124&lt;55,"3",IF(Tableau3[[#This Row],[Fonction]]="conducteur de ligne","1","2")))</f>
        <v>4</v>
      </c>
      <c r="Y124" s="6">
        <f t="shared" si="52"/>
        <v>46272</v>
      </c>
      <c r="Z124" s="42">
        <v>46174</v>
      </c>
      <c r="AA124" s="3" t="str">
        <f ca="1">IF(Tableau3[[#This Row],[Date prochaine évaluation]]&gt; TODAY(),"Réussi","Examen expiré")</f>
        <v>Réussi</v>
      </c>
      <c r="AB124" s="6">
        <f t="shared" si="53"/>
        <v>46539</v>
      </c>
      <c r="AC124" s="46" t="e">
        <f t="shared" ca="1" si="50"/>
        <v>#VALUE!</v>
      </c>
      <c r="AD124" s="143"/>
    </row>
    <row r="125" spans="2:30" ht="48" hidden="1" x14ac:dyDescent="0.4">
      <c r="B125" s="52" t="s">
        <v>378</v>
      </c>
      <c r="C125" s="50" t="s">
        <v>379</v>
      </c>
      <c r="D125" s="52" t="s">
        <v>56</v>
      </c>
      <c r="E125" s="164">
        <v>45986</v>
      </c>
      <c r="F125" s="65" t="str">
        <f ca="1">IF(Tableau3[[#This Row],[Date d''expiration ]]&gt;TODAY()+31,"✅",IF(Tableau3[[#This Row],[Date d''expiration ]]&gt; TODAY()+1, "⚠️","⛔️"))</f>
        <v>✅</v>
      </c>
      <c r="G125" s="21">
        <f t="shared" si="43"/>
        <v>46351</v>
      </c>
      <c r="H125" s="40" t="str">
        <f ca="1">IF( Tableau3[[#This Row],[Date d''expiration ]]&gt;TODAY(),"Néant","Cas à justifier")</f>
        <v>Néant</v>
      </c>
      <c r="I125" s="20">
        <v>33173</v>
      </c>
      <c r="J125" s="75">
        <f t="shared" ca="1" si="51"/>
        <v>35.861033002811901</v>
      </c>
      <c r="K125" s="75">
        <f>YEARFRAC(I125,RG_DRH_S1_008!$E$4,1)</f>
        <v>35.178644763860369</v>
      </c>
      <c r="L125" s="75">
        <f>YEARFRAC(I125,RG_DRH_S1_008!$E$5,1)</f>
        <v>36.178629569335506</v>
      </c>
      <c r="M125" s="3" t="s">
        <v>44</v>
      </c>
      <c r="N125" s="3" t="s">
        <v>173</v>
      </c>
      <c r="O125" s="3" t="s">
        <v>268</v>
      </c>
      <c r="P125" s="42">
        <v>45189</v>
      </c>
      <c r="Q125" s="41" t="s">
        <v>47</v>
      </c>
      <c r="R125" s="76">
        <f t="shared" si="45"/>
        <v>32.899339668223547</v>
      </c>
      <c r="S125" s="19" t="str">
        <f>IF(L125&lt;40,"4",IF(L125&lt;50,"3",IF(L125&lt;55,IF(Tableau3[[#This Row],[Fonction]]="Conducteur de ligne","2","3"),"1")))</f>
        <v>4</v>
      </c>
      <c r="T125" s="6">
        <f t="shared" si="54"/>
        <v>46650</v>
      </c>
      <c r="U125" s="42">
        <v>45728</v>
      </c>
      <c r="V125" s="41" t="s">
        <v>48</v>
      </c>
      <c r="W125" s="75">
        <f t="shared" si="47"/>
        <v>34.373716632443532</v>
      </c>
      <c r="X125" s="6" t="str">
        <f>IF(L125&lt;40,"4",IF(L125&lt;55,"3",IF(Tableau3[[#This Row],[Fonction]]="conducteur de ligne","1","2")))</f>
        <v>4</v>
      </c>
      <c r="Y125" s="6">
        <f t="shared" si="52"/>
        <v>47189</v>
      </c>
      <c r="Z125" s="42">
        <v>45986</v>
      </c>
      <c r="AA125" s="3" t="str">
        <f ca="1">IF(Tableau3[[#This Row],[Date prochaine évaluation]]&gt; TODAY(),"Réussi","Examen expiré")</f>
        <v>Réussi</v>
      </c>
      <c r="AB125" s="6">
        <f>EDATE(Z125, 12)</f>
        <v>46351</v>
      </c>
      <c r="AC125" s="46" t="e">
        <f t="shared" ca="1" si="50"/>
        <v>#VALUE!</v>
      </c>
      <c r="AD125" s="143"/>
    </row>
    <row r="126" spans="2:30" ht="48" x14ac:dyDescent="0.35">
      <c r="B126" s="41" t="s">
        <v>380</v>
      </c>
      <c r="C126" s="53" t="s">
        <v>381</v>
      </c>
      <c r="D126" s="41" t="s">
        <v>56</v>
      </c>
      <c r="E126" s="39"/>
      <c r="F126" s="65" t="str">
        <f ca="1">IF(Tableau3[[#This Row],[Date d''expiration ]]&gt;TODAY()+31,"✅",IF(Tableau3[[#This Row],[Date d''expiration ]]&gt; TODAY()+1, "⚠️","⛔️"))</f>
        <v>✅</v>
      </c>
      <c r="G126" s="6">
        <f t="shared" si="43"/>
        <v>46499</v>
      </c>
      <c r="H126" s="40" t="str">
        <f ca="1">IF( Tableau3[[#This Row],[Date d''expiration ]]&gt;TODAY(),"Néant","Cas à justifier")</f>
        <v>Néant</v>
      </c>
      <c r="I126" s="7">
        <v>36393</v>
      </c>
      <c r="J126" s="75">
        <f t="shared" ca="1" si="51"/>
        <v>27.044490075290895</v>
      </c>
      <c r="K126" s="75">
        <f>YEARFRAC(I126,RG_DRH_S1_008!$E$4,1)</f>
        <v>26.362096937740827</v>
      </c>
      <c r="L126" s="75">
        <f>YEARFRAC(I126,RG_DRH_S1_008!$E$5,1)</f>
        <v>27.362080766598222</v>
      </c>
      <c r="M126" s="3" t="s">
        <v>237</v>
      </c>
      <c r="N126" s="3" t="s">
        <v>173</v>
      </c>
      <c r="O126" s="3" t="s">
        <v>268</v>
      </c>
      <c r="P126" s="42">
        <v>45574</v>
      </c>
      <c r="Q126" s="41" t="s">
        <v>47</v>
      </c>
      <c r="R126" s="76">
        <f t="shared" si="45"/>
        <v>25.134884700431716</v>
      </c>
      <c r="S126" s="19" t="str">
        <f>IF(L126&lt;40,"4",IF(L126&lt;50,"3",IF(L126&lt;55,IF(Tableau3[[#This Row],[Fonction]]="Conducteur de ligne","2","3"),"1")))</f>
        <v>4</v>
      </c>
      <c r="T126" s="6"/>
      <c r="U126" s="42">
        <v>45987</v>
      </c>
      <c r="V126" s="41" t="s">
        <v>48</v>
      </c>
      <c r="W126" s="75">
        <f t="shared" si="47"/>
        <v>26.266274589332795</v>
      </c>
      <c r="X126" s="6" t="str">
        <f>IF(L126&lt;40,"4",IF(L126&lt;55,"3",IF(Tableau3[[#This Row],[Fonction]]="conducteur de ligne","1","2")))</f>
        <v>4</v>
      </c>
      <c r="Y126" s="6">
        <f t="shared" si="52"/>
        <v>47448</v>
      </c>
      <c r="Z126" s="42">
        <v>46134</v>
      </c>
      <c r="AA126" s="3" t="str">
        <f ca="1">IF(Tableau3[[#This Row],[Date prochaine évaluation]]&gt; TODAY(),"Réussi","Examen expiré")</f>
        <v>Réussi</v>
      </c>
      <c r="AB126" s="6">
        <f t="shared" si="53"/>
        <v>46499</v>
      </c>
      <c r="AC126" s="46" t="e">
        <f t="shared" ca="1" si="50"/>
        <v>#VALUE!</v>
      </c>
      <c r="AD126" s="143"/>
    </row>
    <row r="127" spans="2:30" ht="48" x14ac:dyDescent="0.35">
      <c r="B127" s="41" t="s">
        <v>382</v>
      </c>
      <c r="C127" s="50" t="s">
        <v>383</v>
      </c>
      <c r="D127" s="52" t="s">
        <v>56</v>
      </c>
      <c r="E127" s="86"/>
      <c r="F127" s="65" t="str">
        <f ca="1">IF(Tableau3[[#This Row],[Date d''expiration ]]&gt;TODAY()+31,"✅",IF(Tableau3[[#This Row],[Date d''expiration ]]&gt; TODAY()+1, "⚠️","⛔️"))</f>
        <v>✅</v>
      </c>
      <c r="G127" s="21">
        <f t="shared" si="43"/>
        <v>46355</v>
      </c>
      <c r="H127" s="40" t="str">
        <f ca="1">IF( Tableau3[[#This Row],[Date d''expiration ]]&gt;TODAY(),"Néant","Cas à justifier")</f>
        <v>Néant</v>
      </c>
      <c r="I127" s="20">
        <v>35066</v>
      </c>
      <c r="J127" s="75">
        <f t="shared" ca="1" si="51"/>
        <v>30.67694074008655</v>
      </c>
      <c r="K127" s="75">
        <f>YEARFRAC(I127,RG_DRH_S1_008!$E$4,1)</f>
        <v>29.994524548275233</v>
      </c>
      <c r="L127" s="75">
        <f>YEARFRAC(I127,RG_DRH_S1_008!$E$5,1)</f>
        <v>30.994524419323501</v>
      </c>
      <c r="M127" s="3" t="s">
        <v>237</v>
      </c>
      <c r="N127" s="3" t="s">
        <v>173</v>
      </c>
      <c r="O127" s="3" t="s">
        <v>268</v>
      </c>
      <c r="P127" s="42">
        <v>46174</v>
      </c>
      <c r="Q127" s="41" t="s">
        <v>47</v>
      </c>
      <c r="R127" s="76">
        <f t="shared" si="45"/>
        <v>30.41137507727634</v>
      </c>
      <c r="S127" s="19" t="str">
        <f>IF(L127&lt;40,"4",IF(L127&lt;50,"3",IF(L127&lt;55,IF(Tableau3[[#This Row],[Fonction]]="Conducteur de ligne","2","3"),"1")))</f>
        <v>4</v>
      </c>
      <c r="T127" s="6">
        <f t="shared" si="54"/>
        <v>47635</v>
      </c>
      <c r="U127" s="42">
        <v>45839</v>
      </c>
      <c r="V127" s="41" t="s">
        <v>48</v>
      </c>
      <c r="W127" s="75">
        <f t="shared" si="47"/>
        <v>29.493520715459027</v>
      </c>
      <c r="X127" s="6" t="str">
        <f>IF(L127&lt;40,"4",IF(L127&lt;55,"3",IF(Tableau3[[#This Row],[Fonction]]="conducteur de ligne","1","2")))</f>
        <v>4</v>
      </c>
      <c r="Y127" s="6">
        <f t="shared" si="52"/>
        <v>47300</v>
      </c>
      <c r="Z127" s="42">
        <v>45990</v>
      </c>
      <c r="AA127" s="3" t="str">
        <f ca="1">IF(Tableau3[[#This Row],[Date prochaine évaluation]]&gt; TODAY(),"Réussi","Examen expiré")</f>
        <v>Réussi</v>
      </c>
      <c r="AB127" s="6">
        <f t="shared" si="53"/>
        <v>46355</v>
      </c>
      <c r="AC127" s="46" t="e">
        <f t="shared" ca="1" si="50"/>
        <v>#VALUE!</v>
      </c>
      <c r="AD127" s="143"/>
    </row>
    <row r="128" spans="2:30" ht="48" x14ac:dyDescent="0.35">
      <c r="B128" s="41" t="s">
        <v>384</v>
      </c>
      <c r="C128" s="53" t="s">
        <v>385</v>
      </c>
      <c r="D128" s="41" t="s">
        <v>56</v>
      </c>
      <c r="E128" s="39"/>
      <c r="F128" s="65" t="str">
        <f ca="1">IF(Tableau3[[#This Row],[Date d''expiration ]]&gt;TODAY()+31,"✅",IF(Tableau3[[#This Row],[Date d''expiration ]]&gt; TODAY()+1, "⚠️","⛔️"))</f>
        <v>✅</v>
      </c>
      <c r="G128" s="6">
        <f t="shared" ref="G128:G143" si="55">MIN(T128,Y128,AB128)</f>
        <v>46543</v>
      </c>
      <c r="H128" s="40" t="str">
        <f ca="1">IF( Tableau3[[#This Row],[Date d''expiration ]]&gt;TODAY(),"Néant","Cas à justifier")</f>
        <v>Néant</v>
      </c>
      <c r="I128" s="7">
        <v>35486</v>
      </c>
      <c r="J128" s="75">
        <f t="shared" ca="1" si="51"/>
        <v>29.529068175595508</v>
      </c>
      <c r="K128" s="75">
        <f>YEARFRAC(I128,RG_DRH_S1_008!$E$4,1)</f>
        <v>28.84667673716012</v>
      </c>
      <c r="L128" s="75">
        <f>YEARFRAC(I128,RG_DRH_S1_008!$E$5,1)</f>
        <v>29.846673359496211</v>
      </c>
      <c r="M128" s="3" t="s">
        <v>237</v>
      </c>
      <c r="N128" s="3" t="s">
        <v>173</v>
      </c>
      <c r="O128" s="3" t="s">
        <v>268</v>
      </c>
      <c r="P128" s="42">
        <v>45987</v>
      </c>
      <c r="Q128" s="41" t="s">
        <v>47</v>
      </c>
      <c r="R128" s="76">
        <f t="shared" ref="R128:R143" si="56">YEARFRAC(I128,P128,1)</f>
        <v>28.750849697885197</v>
      </c>
      <c r="S128" s="19" t="str">
        <f>IF(L128&lt;40,"4",IF(L128&lt;50,"3",IF(L128&lt;55,IF(Tableau3[[#This Row],[Fonction]]="Conducteur de ligne","2","3"),"1")))</f>
        <v>4</v>
      </c>
      <c r="T128" s="6">
        <f t="shared" si="54"/>
        <v>47448</v>
      </c>
      <c r="U128" s="42">
        <v>46191</v>
      </c>
      <c r="V128" s="41" t="s">
        <v>48</v>
      </c>
      <c r="W128" s="75">
        <f t="shared" ref="W128:W142" si="57">YEARFRAC(I128,U128,1)</f>
        <v>29.310030117732953</v>
      </c>
      <c r="X128" s="6" t="str">
        <f>IF(L128&lt;40,"4",IF(L128&lt;55,"3",IF(Tableau3[[#This Row],[Fonction]]="conducteur de ligne","1","2")))</f>
        <v>4</v>
      </c>
      <c r="Y128" s="6">
        <f t="shared" si="52"/>
        <v>47652</v>
      </c>
      <c r="Z128" s="42">
        <v>46178</v>
      </c>
      <c r="AA128" s="3" t="str">
        <f ca="1">IF(Tableau3[[#This Row],[Date prochaine évaluation]]&gt; TODAY(),"Réussi","Examen expiré")</f>
        <v>Réussi</v>
      </c>
      <c r="AB128" s="6">
        <f t="shared" si="53"/>
        <v>46543</v>
      </c>
      <c r="AC128" s="46" t="e">
        <f t="shared" ref="AC128:AC148" ca="1" si="58">EDATE(AA128, 12)</f>
        <v>#VALUE!</v>
      </c>
      <c r="AD128" s="143"/>
    </row>
    <row r="129" spans="2:30" ht="48" x14ac:dyDescent="0.35">
      <c r="B129" s="41" t="s">
        <v>386</v>
      </c>
      <c r="C129" s="50" t="s">
        <v>387</v>
      </c>
      <c r="D129" s="52" t="s">
        <v>56</v>
      </c>
      <c r="E129" s="86"/>
      <c r="F129" s="65" t="str">
        <f ca="1">IF(Tableau3[[#This Row],[Date d''expiration ]]&gt;TODAY()+31,"✅",IF(Tableau3[[#This Row],[Date d''expiration ]]&gt; TODAY()+1, "⚠️","⛔️"))</f>
        <v>✅</v>
      </c>
      <c r="G129" s="21">
        <f t="shared" si="55"/>
        <v>46497</v>
      </c>
      <c r="H129" s="40" t="str">
        <f ca="1">IF( Tableau3[[#This Row],[Date d''expiration ]]&gt;TODAY(),"Néant","Cas à justifier")</f>
        <v>Néant</v>
      </c>
      <c r="I129" s="20">
        <v>24548</v>
      </c>
      <c r="J129" s="75">
        <f t="shared" ca="1" si="51"/>
        <v>59.474332648870636</v>
      </c>
      <c r="K129" s="75">
        <f>YEARFRAC(I129,RG_DRH_S1_008!$E$4,1)</f>
        <v>58.79192575406033</v>
      </c>
      <c r="L129" s="75">
        <f>YEARFRAC(I129,RG_DRH_S1_008!$E$5,1)</f>
        <v>59.791923340177959</v>
      </c>
      <c r="M129" s="3" t="s">
        <v>237</v>
      </c>
      <c r="N129" s="3" t="s">
        <v>173</v>
      </c>
      <c r="O129" s="3" t="s">
        <v>268</v>
      </c>
      <c r="P129" s="42">
        <v>46134</v>
      </c>
      <c r="Q129" s="41" t="s">
        <v>47</v>
      </c>
      <c r="R129" s="76">
        <f t="shared" si="56"/>
        <v>59.09924709103354</v>
      </c>
      <c r="S129" s="19" t="str">
        <f>IF(L129&lt;40,"4",IF(L129&lt;50,"3",IF(L129&lt;55,IF(Tableau3[[#This Row],[Fonction]]="Conducteur de ligne","2","3"),"1")))</f>
        <v>1</v>
      </c>
      <c r="T129" s="6">
        <f t="shared" si="54"/>
        <v>46499</v>
      </c>
      <c r="U129" s="42">
        <v>46097</v>
      </c>
      <c r="V129" s="41" t="s">
        <v>48</v>
      </c>
      <c r="W129" s="75">
        <f t="shared" si="57"/>
        <v>58.997946611909654</v>
      </c>
      <c r="X129" s="6" t="str">
        <f>IF(L129&lt;40,"4",IF(L129&lt;55,"3",IF(Tableau3[[#This Row],[Fonction]]="conducteur de ligne","1","2")))</f>
        <v>2</v>
      </c>
      <c r="Y129" s="6">
        <f t="shared" si="52"/>
        <v>46828</v>
      </c>
      <c r="Z129" s="42">
        <v>46132</v>
      </c>
      <c r="AA129" s="3" t="str">
        <f ca="1">IF(Tableau3[[#This Row],[Date prochaine évaluation]]&gt; TODAY(),"Réussi","Examen expiré")</f>
        <v>Réussi</v>
      </c>
      <c r="AB129" s="6">
        <f t="shared" si="53"/>
        <v>46497</v>
      </c>
      <c r="AC129" s="46" t="e">
        <f t="shared" ca="1" si="58"/>
        <v>#VALUE!</v>
      </c>
      <c r="AD129" s="143"/>
    </row>
    <row r="130" spans="2:30" ht="48" x14ac:dyDescent="0.35">
      <c r="B130" s="41" t="s">
        <v>394</v>
      </c>
      <c r="C130" s="52" t="s">
        <v>395</v>
      </c>
      <c r="D130" s="41" t="s">
        <v>56</v>
      </c>
      <c r="E130" s="39"/>
      <c r="F130" s="65" t="str">
        <f ca="1">IF(Tableau3[[#This Row],[Date d''expiration ]]&gt;TODAY()+31,"✅",IF(Tableau3[[#This Row],[Date d''expiration ]]&gt; TODAY()+1, "⚠️","⛔️"))</f>
        <v>⚠️</v>
      </c>
      <c r="G130" s="6">
        <f t="shared" si="55"/>
        <v>46288</v>
      </c>
      <c r="H130" s="40" t="str">
        <f ca="1">IF( Tableau3[[#This Row],[Date d''expiration ]]&gt;TODAY(),"Néant","Cas à justifier")</f>
        <v>Néant</v>
      </c>
      <c r="I130" s="21">
        <v>35577</v>
      </c>
      <c r="J130" s="75">
        <f t="shared" ca="1" si="51"/>
        <v>29.279912384776853</v>
      </c>
      <c r="K130" s="75">
        <f>YEARFRAC(I130,RG_DRH_S1_008!$E$4,1)</f>
        <v>28.597526435045317</v>
      </c>
      <c r="L130" s="75">
        <f>YEARFRAC(I130,RG_DRH_S1_008!$E$5,1)</f>
        <v>29.597517568677556</v>
      </c>
      <c r="M130" s="3" t="s">
        <v>390</v>
      </c>
      <c r="N130" s="3" t="s">
        <v>396</v>
      </c>
      <c r="O130" s="3" t="s">
        <v>397</v>
      </c>
      <c r="P130" s="42">
        <v>45181</v>
      </c>
      <c r="Q130" s="41" t="s">
        <v>47</v>
      </c>
      <c r="R130" s="76">
        <f t="shared" si="56"/>
        <v>26.296318831761486</v>
      </c>
      <c r="S130" s="19" t="str">
        <f>IF(L130&lt;40,"4",IF(L130&lt;50,"3",IF(L130&lt;55,IF(Tableau3[[#This Row],[Fonction]]="Conducteur de ligne","2","3"),"1")))</f>
        <v>4</v>
      </c>
      <c r="T130" s="6">
        <f t="shared" si="54"/>
        <v>46642</v>
      </c>
      <c r="U130" s="42">
        <v>44827</v>
      </c>
      <c r="V130" s="41" t="s">
        <v>48</v>
      </c>
      <c r="W130" s="75">
        <f t="shared" si="57"/>
        <v>25.326453243470937</v>
      </c>
      <c r="X130" s="6" t="str">
        <f>IF(L130&lt;40,"4",IF(L130&lt;55,"3",IF(Tableau3[[#This Row],[Fonction]]="conducteur de ligne","1","2")))</f>
        <v>4</v>
      </c>
      <c r="Y130" s="6">
        <f t="shared" si="52"/>
        <v>46288</v>
      </c>
      <c r="Z130" s="42">
        <v>46064</v>
      </c>
      <c r="AA130" s="3" t="str">
        <f ca="1">IF(Tableau3[[#This Row],[Date prochaine évaluation]]&gt; TODAY(),"Réussi","Examen expiré")</f>
        <v>Réussi</v>
      </c>
      <c r="AB130" s="6">
        <f t="shared" si="53"/>
        <v>46429</v>
      </c>
      <c r="AC130" s="46" t="e">
        <f t="shared" ca="1" si="58"/>
        <v>#VALUE!</v>
      </c>
      <c r="AD130" s="143"/>
    </row>
    <row r="131" spans="2:30" ht="48" x14ac:dyDescent="0.35">
      <c r="B131" s="41" t="s">
        <v>398</v>
      </c>
      <c r="C131" s="51" t="s">
        <v>399</v>
      </c>
      <c r="D131" s="41" t="s">
        <v>56</v>
      </c>
      <c r="E131" s="39"/>
      <c r="F131" s="65" t="str">
        <f ca="1">IF(Tableau3[[#This Row],[Date d''expiration ]]&gt;TODAY()+31,"✅",IF(Tableau3[[#This Row],[Date d''expiration ]]&gt; TODAY()+1, "⚠️","⛔️"))</f>
        <v>⚠️</v>
      </c>
      <c r="G131" s="6">
        <f t="shared" si="55"/>
        <v>46279</v>
      </c>
      <c r="H131" s="40" t="str">
        <f ca="1">IF( Tableau3[[#This Row],[Date d''expiration ]]&gt;TODAY(),"Néant","Cas à justifier")</f>
        <v>Néant</v>
      </c>
      <c r="I131" s="32">
        <v>36019</v>
      </c>
      <c r="J131" s="75">
        <f t="shared" ca="1" si="51"/>
        <v>28.069108761329304</v>
      </c>
      <c r="K131" s="75">
        <f>YEARFRAC(I131,RG_DRH_S1_008!$E$4,1)</f>
        <v>27.38672142368241</v>
      </c>
      <c r="L131" s="75">
        <f>YEARFRAC(I131,RG_DRH_S1_008!$E$5,1)</f>
        <v>28.386706948640484</v>
      </c>
      <c r="M131" s="3" t="s">
        <v>390</v>
      </c>
      <c r="N131" s="3" t="s">
        <v>396</v>
      </c>
      <c r="O131" s="3" t="s">
        <v>397</v>
      </c>
      <c r="P131" s="42">
        <v>45189</v>
      </c>
      <c r="Q131" s="41" t="s">
        <v>47</v>
      </c>
      <c r="R131" s="76">
        <f t="shared" si="56"/>
        <v>25.107413647851729</v>
      </c>
      <c r="S131" s="19" t="str">
        <f>IF(L131&lt;40,"4",IF(L131&lt;50,"3",IF(L131&lt;55,IF(Tableau3[[#This Row],[Fonction]]="Conducteur de ligne","2","3"),"1")))</f>
        <v>4</v>
      </c>
      <c r="T131" s="6">
        <f t="shared" si="54"/>
        <v>46650</v>
      </c>
      <c r="U131" s="42">
        <v>44818</v>
      </c>
      <c r="V131" s="41" t="s">
        <v>48</v>
      </c>
      <c r="W131" s="75">
        <f t="shared" si="57"/>
        <v>24.09100865184536</v>
      </c>
      <c r="X131" s="6" t="str">
        <f>IF(L131&lt;40,"4",IF(L131&lt;55,"3",IF(Tableau3[[#This Row],[Fonction]]="conducteur de ligne","1","2")))</f>
        <v>4</v>
      </c>
      <c r="Y131" s="6">
        <f t="shared" si="52"/>
        <v>46279</v>
      </c>
      <c r="Z131" s="42">
        <v>46030</v>
      </c>
      <c r="AA131" s="3" t="str">
        <f ca="1">IF(Tableau3[[#This Row],[Date prochaine évaluation]]&gt; TODAY(),"Réussi","Examen expiré")</f>
        <v>Réussi</v>
      </c>
      <c r="AB131" s="6">
        <f t="shared" si="53"/>
        <v>46395</v>
      </c>
      <c r="AC131" s="46" t="e">
        <f t="shared" ca="1" si="58"/>
        <v>#VALUE!</v>
      </c>
      <c r="AD131" s="143"/>
    </row>
    <row r="132" spans="2:30" ht="48" x14ac:dyDescent="0.35">
      <c r="B132" s="41" t="s">
        <v>400</v>
      </c>
      <c r="C132" s="52" t="s">
        <v>401</v>
      </c>
      <c r="D132" s="41" t="s">
        <v>56</v>
      </c>
      <c r="E132" s="39"/>
      <c r="F132" s="65" t="str">
        <f ca="1">IF(Tableau3[[#This Row],[Date d''expiration ]]&gt;TODAY()+31,"✅",IF(Tableau3[[#This Row],[Date d''expiration ]]&gt; TODAY()+1, "⚠️","⛔️"))</f>
        <v>⚠️</v>
      </c>
      <c r="G132" s="6">
        <f t="shared" si="55"/>
        <v>46278</v>
      </c>
      <c r="H132" s="40" t="str">
        <f ca="1">IF( Tableau3[[#This Row],[Date d''expiration ]]&gt;TODAY(),"Néant","Cas à justifier")</f>
        <v>Néant</v>
      </c>
      <c r="I132" s="21">
        <v>35643</v>
      </c>
      <c r="J132" s="75">
        <f t="shared" ca="1" si="51"/>
        <v>29.099205987040246</v>
      </c>
      <c r="K132" s="75">
        <f>YEARFRAC(I132,RG_DRH_S1_008!$E$4,1)</f>
        <v>28.416824018126889</v>
      </c>
      <c r="L132" s="75">
        <f>YEARFRAC(I132,RG_DRH_S1_008!$E$5,1)</f>
        <v>29.416811170940949</v>
      </c>
      <c r="M132" s="3" t="s">
        <v>390</v>
      </c>
      <c r="N132" s="3" t="s">
        <v>396</v>
      </c>
      <c r="O132" s="3" t="s">
        <v>397</v>
      </c>
      <c r="P132" s="42">
        <v>45184</v>
      </c>
      <c r="Q132" s="41" t="s">
        <v>47</v>
      </c>
      <c r="R132" s="76">
        <f t="shared" si="56"/>
        <v>26.123821113477334</v>
      </c>
      <c r="S132" s="19" t="str">
        <f>IF(L132&lt;40,"4",IF(L132&lt;50,"3",IF(L132&lt;55,IF(Tableau3[[#This Row],[Fonction]]="Conducteur de ligne","2","3"),"1")))</f>
        <v>4</v>
      </c>
      <c r="T132" s="6">
        <f t="shared" si="54"/>
        <v>46645</v>
      </c>
      <c r="U132" s="42">
        <v>44817</v>
      </c>
      <c r="V132" s="41" t="s">
        <v>48</v>
      </c>
      <c r="W132" s="75">
        <f t="shared" si="57"/>
        <v>25.118365627632688</v>
      </c>
      <c r="X132" s="6" t="str">
        <f>IF(L132&lt;40,"4",IF(L132&lt;55,"3",IF(Tableau3[[#This Row],[Fonction]]="conducteur de ligne","1","2")))</f>
        <v>4</v>
      </c>
      <c r="Y132" s="6">
        <f t="shared" si="52"/>
        <v>46278</v>
      </c>
      <c r="Z132" s="42">
        <v>46064</v>
      </c>
      <c r="AA132" s="3" t="str">
        <f ca="1">IF(Tableau3[[#This Row],[Date prochaine évaluation]]&gt; TODAY(),"Réussi","Examen expiré")</f>
        <v>Réussi</v>
      </c>
      <c r="AB132" s="6">
        <f t="shared" si="53"/>
        <v>46429</v>
      </c>
      <c r="AC132" s="46" t="e">
        <f t="shared" ca="1" si="58"/>
        <v>#VALUE!</v>
      </c>
      <c r="AD132" s="143"/>
    </row>
    <row r="133" spans="2:30" ht="48" x14ac:dyDescent="0.35">
      <c r="B133" s="41" t="s">
        <v>402</v>
      </c>
      <c r="C133" s="51" t="s">
        <v>403</v>
      </c>
      <c r="D133" s="41" t="s">
        <v>56</v>
      </c>
      <c r="E133" s="39"/>
      <c r="F133" s="65" t="str">
        <f ca="1">IF(Tableau3[[#This Row],[Date d''expiration ]]&gt;TODAY()+31,"✅",IF(Tableau3[[#This Row],[Date d''expiration ]]&gt; TODAY()+1, "⚠️","⛔️"))</f>
        <v>⚠️</v>
      </c>
      <c r="G133" s="6">
        <f t="shared" si="55"/>
        <v>46281</v>
      </c>
      <c r="H133" s="40" t="str">
        <f ca="1">IF( Tableau3[[#This Row],[Date d''expiration ]]&gt;TODAY(),"Néant","Cas à justifier")</f>
        <v>Néant</v>
      </c>
      <c r="I133" s="32">
        <v>36164</v>
      </c>
      <c r="J133" s="75">
        <f t="shared" ca="1" si="51"/>
        <v>27.671457905544148</v>
      </c>
      <c r="K133" s="75">
        <f>YEARFRAC(I133,RG_DRH_S1_008!$E$4,1)</f>
        <v>26.989048874467656</v>
      </c>
      <c r="L133" s="75">
        <f>YEARFRAC(I133,RG_DRH_S1_008!$E$5,1)</f>
        <v>27.989048596851472</v>
      </c>
      <c r="M133" s="3" t="s">
        <v>390</v>
      </c>
      <c r="N133" s="3" t="s">
        <v>396</v>
      </c>
      <c r="O133" s="3" t="s">
        <v>397</v>
      </c>
      <c r="P133" s="42">
        <v>45191</v>
      </c>
      <c r="Q133" s="41" t="s">
        <v>47</v>
      </c>
      <c r="R133" s="76">
        <f t="shared" si="56"/>
        <v>24.715255722264811</v>
      </c>
      <c r="S133" s="19" t="str">
        <f>IF(L133&lt;40,"4",IF(L133&lt;50,"3",IF(L133&lt;55,IF(Tableau3[[#This Row],[Fonction]]="Conducteur de ligne","2","3"),"1")))</f>
        <v>4</v>
      </c>
      <c r="T133" s="6">
        <f t="shared" si="54"/>
        <v>46652</v>
      </c>
      <c r="U133" s="42">
        <v>44820</v>
      </c>
      <c r="V133" s="41" t="s">
        <v>48</v>
      </c>
      <c r="W133" s="75">
        <f t="shared" si="57"/>
        <v>23.698836413415467</v>
      </c>
      <c r="X133" s="6" t="str">
        <f>IF(L133&lt;40,"4",IF(L133&lt;55,"3",IF(Tableau3[[#This Row],[Fonction]]="conducteur de ligne","1","2")))</f>
        <v>4</v>
      </c>
      <c r="Y133" s="6">
        <f t="shared" si="52"/>
        <v>46281</v>
      </c>
      <c r="Z133" s="42">
        <v>46029</v>
      </c>
      <c r="AA133" s="3" t="str">
        <f ca="1">IF(Tableau3[[#This Row],[Date prochaine évaluation]]&gt; TODAY(),"Réussi","Examen expiré")</f>
        <v>Réussi</v>
      </c>
      <c r="AB133" s="6">
        <f t="shared" si="53"/>
        <v>46394</v>
      </c>
      <c r="AC133" s="46" t="e">
        <f t="shared" ca="1" si="58"/>
        <v>#VALUE!</v>
      </c>
      <c r="AD133" s="143"/>
    </row>
    <row r="134" spans="2:30" ht="34.5" x14ac:dyDescent="0.35">
      <c r="B134" s="52" t="s">
        <v>404</v>
      </c>
      <c r="C134" s="50" t="s">
        <v>405</v>
      </c>
      <c r="D134" s="41" t="s">
        <v>56</v>
      </c>
      <c r="E134" s="40">
        <v>45841</v>
      </c>
      <c r="F134" s="65" t="str">
        <f ca="1">IF(Tableau3[[#This Row],[Date d''expiration ]]&gt;TODAY()+31,"✅",IF(Tableau3[[#This Row],[Date d''expiration ]]&gt; TODAY()+1, "⚠️","⛔️"))</f>
        <v>⛔️</v>
      </c>
      <c r="G134" s="6">
        <f t="shared" si="55"/>
        <v>46198</v>
      </c>
      <c r="H134" s="40" t="str">
        <f ca="1">IF( Tableau3[[#This Row],[Date d''expiration ]]&gt;TODAY(),"Néant","Cas à justifier")</f>
        <v>Cas à justifier</v>
      </c>
      <c r="I134" s="20">
        <v>36367</v>
      </c>
      <c r="J134" s="75">
        <f t="shared" ca="1" si="51"/>
        <v>27.115674195756331</v>
      </c>
      <c r="K134" s="75">
        <f>YEARFRAC(I134,RG_DRH_S1_008!$E$4,1)</f>
        <v>26.433279253701077</v>
      </c>
      <c r="L134" s="75">
        <f>YEARFRAC(I134,RG_DRH_S1_008!$E$5,1)</f>
        <v>27.433264887063654</v>
      </c>
      <c r="M134" s="3" t="s">
        <v>237</v>
      </c>
      <c r="N134" s="3" t="s">
        <v>314</v>
      </c>
      <c r="O134" s="3" t="s">
        <v>314</v>
      </c>
      <c r="P134" s="42">
        <v>45084</v>
      </c>
      <c r="Q134" s="41" t="s">
        <v>47</v>
      </c>
      <c r="R134" s="76">
        <f t="shared" si="56"/>
        <v>23.866498740554157</v>
      </c>
      <c r="S134" s="19" t="str">
        <f>IF(L134&lt;40,"4",IF(L134&lt;50,"3",IF(L134&lt;55,IF(Tableau3[[#This Row],[Fonction]]="Conducteur de ligne","2","3"),"1")))</f>
        <v>4</v>
      </c>
      <c r="T134" s="6">
        <f t="shared" si="54"/>
        <v>46545</v>
      </c>
      <c r="U134" s="42">
        <v>46167</v>
      </c>
      <c r="V134" s="41" t="s">
        <v>48</v>
      </c>
      <c r="W134" s="75">
        <f t="shared" si="57"/>
        <v>26.830937713894592</v>
      </c>
      <c r="X134" s="6" t="str">
        <f>IF(L134&lt;40,"4",IF(L134&lt;55,"3",IF(Tableau3[[#This Row],[Fonction]]="conducteur de ligne","1","2")))</f>
        <v>4</v>
      </c>
      <c r="Y134" s="6">
        <f t="shared" si="52"/>
        <v>47628</v>
      </c>
      <c r="Z134" s="42">
        <v>45833</v>
      </c>
      <c r="AA134" s="3" t="str">
        <f ca="1">IF(Tableau3[[#This Row],[Date prochaine évaluation]]&gt; TODAY(),"Réussi","Examen expiré")</f>
        <v>Examen expiré</v>
      </c>
      <c r="AB134" s="6">
        <f t="shared" si="53"/>
        <v>46198</v>
      </c>
      <c r="AC134" s="46" t="e">
        <f t="shared" ca="1" si="58"/>
        <v>#VALUE!</v>
      </c>
      <c r="AD134" s="143"/>
    </row>
    <row r="135" spans="2:30" ht="48" x14ac:dyDescent="0.35">
      <c r="B135" s="41" t="s">
        <v>406</v>
      </c>
      <c r="C135" s="53" t="s">
        <v>407</v>
      </c>
      <c r="D135" s="41" t="s">
        <v>56</v>
      </c>
      <c r="E135" s="39"/>
      <c r="F135" s="65" t="str">
        <f ca="1">IF(Tableau3[[#This Row],[Date d''expiration ]]&gt;TODAY()+31,"✅",IF(Tableau3[[#This Row],[Date d''expiration ]]&gt; TODAY()+1, "⚠️","⛔️"))</f>
        <v>✅</v>
      </c>
      <c r="G135" s="6">
        <f>MIN(T135,Y135,AB135)</f>
        <v>46523</v>
      </c>
      <c r="H135" s="40" t="str">
        <f ca="1">IF( Tableau3[[#This Row],[Date d''expiration ]]&gt;TODAY(),"Néant","Cas à justifier")</f>
        <v>Néant</v>
      </c>
      <c r="I135" s="7">
        <v>36686</v>
      </c>
      <c r="J135" s="75">
        <f t="shared" ca="1" si="51"/>
        <v>26.241634556885014</v>
      </c>
      <c r="K135" s="75">
        <f>YEARFRAC(I135,RG_DRH_S1_008!$E$4,1)</f>
        <v>25.559229230283247</v>
      </c>
      <c r="L135" s="75">
        <f>YEARFRAC(I135,RG_DRH_S1_008!$E$5,1)</f>
        <v>26.559217197323061</v>
      </c>
      <c r="M135" s="3" t="s">
        <v>390</v>
      </c>
      <c r="N135" s="3" t="s">
        <v>396</v>
      </c>
      <c r="O135" s="3" t="s">
        <v>397</v>
      </c>
      <c r="P135" s="42">
        <v>46161</v>
      </c>
      <c r="Q135" s="41" t="s">
        <v>47</v>
      </c>
      <c r="R135" s="76">
        <f t="shared" si="56"/>
        <v>25.94047860474549</v>
      </c>
      <c r="S135" s="19" t="str">
        <f>IF(L135&lt;40,"4",IF(L135&lt;50,"3",IF(L135&lt;55,IF(Tableau3[[#This Row],[Fonction]]="Conducteur de ligne","2","3"),"1")))</f>
        <v>4</v>
      </c>
      <c r="T135" s="6">
        <f t="shared" si="54"/>
        <v>47622</v>
      </c>
      <c r="U135" s="42">
        <v>45870</v>
      </c>
      <c r="V135" s="41" t="s">
        <v>48</v>
      </c>
      <c r="W135" s="75">
        <f t="shared" si="57"/>
        <v>25.143097820364325</v>
      </c>
      <c r="X135" s="6" t="str">
        <f>IF(L135&lt;40,"4",IF(L135&lt;55,"3",IF(Tableau3[[#This Row],[Fonction]]="conducteur de ligne","1","2")))</f>
        <v>4</v>
      </c>
      <c r="Y135" s="6">
        <f t="shared" si="52"/>
        <v>47331</v>
      </c>
      <c r="Z135" s="42">
        <v>46158</v>
      </c>
      <c r="AA135" s="3" t="str">
        <f ca="1">IF(Tableau3[[#This Row],[Date prochaine évaluation]]&gt; TODAY(),"Réussi","Examen expiré")</f>
        <v>Réussi</v>
      </c>
      <c r="AB135" s="6">
        <f t="shared" si="53"/>
        <v>46523</v>
      </c>
      <c r="AC135" s="46" t="e">
        <f t="shared" ca="1" si="58"/>
        <v>#VALUE!</v>
      </c>
      <c r="AD135" s="143"/>
    </row>
    <row r="136" spans="2:30" ht="48" x14ac:dyDescent="0.35">
      <c r="B136" s="52" t="s">
        <v>408</v>
      </c>
      <c r="C136" s="50" t="s">
        <v>409</v>
      </c>
      <c r="D136" s="52" t="s">
        <v>56</v>
      </c>
      <c r="E136" s="86"/>
      <c r="F136" s="65" t="str">
        <f ca="1">IF(Tableau3[[#This Row],[Date d''expiration ]]&gt;TODAY()+31,"✅",IF(Tableau3[[#This Row],[Date d''expiration ]]&gt; TODAY()+1, "⚠️","⛔️"))</f>
        <v>✅</v>
      </c>
      <c r="G136" s="21">
        <f t="shared" si="55"/>
        <v>46577</v>
      </c>
      <c r="H136" s="40" t="str">
        <f ca="1">IF( Tableau3[[#This Row],[Date d''expiration ]]&gt;TODAY(),"Néant","Cas à justifier")</f>
        <v>Néant</v>
      </c>
      <c r="I136" s="20">
        <v>36053</v>
      </c>
      <c r="J136" s="75">
        <f t="shared" ca="1" si="51"/>
        <v>27.976019637462237</v>
      </c>
      <c r="K136" s="75">
        <f>YEARFRAC(I136,RG_DRH_S1_008!$E$4,1)</f>
        <v>27.293634496919918</v>
      </c>
      <c r="L136" s="75">
        <f>YEARFRAC(I136,RG_DRH_S1_008!$E$5,1)</f>
        <v>28.293617824773413</v>
      </c>
      <c r="M136" s="3" t="s">
        <v>390</v>
      </c>
      <c r="N136" s="3" t="s">
        <v>396</v>
      </c>
      <c r="O136" s="3" t="s">
        <v>397</v>
      </c>
      <c r="P136" s="42">
        <v>46153</v>
      </c>
      <c r="Q136" s="41" t="s">
        <v>47</v>
      </c>
      <c r="R136" s="76">
        <f t="shared" si="56"/>
        <v>27.652945619335348</v>
      </c>
      <c r="S136" s="19" t="str">
        <f>IF(L136&lt;40,"4",IF(L136&lt;50,"3",IF(L136&lt;55,IF(Tableau3[[#This Row],[Fonction]]="Conducteur de ligne","2","3"),"1")))</f>
        <v>4</v>
      </c>
      <c r="T136" s="6">
        <f t="shared" si="54"/>
        <v>47614</v>
      </c>
      <c r="U136" s="42">
        <v>45848</v>
      </c>
      <c r="V136" s="41" t="s">
        <v>48</v>
      </c>
      <c r="W136" s="75">
        <f t="shared" si="57"/>
        <v>26.817248459958932</v>
      </c>
      <c r="X136" s="6" t="str">
        <f>IF(L136&lt;40,"4",IF(L136&lt;55,"3",IF(Tableau3[[#This Row],[Fonction]]="conducteur de ligne","1","2")))</f>
        <v>4</v>
      </c>
      <c r="Y136" s="6">
        <f t="shared" si="52"/>
        <v>47309</v>
      </c>
      <c r="Z136" s="42">
        <v>46212</v>
      </c>
      <c r="AA136" s="3" t="str">
        <f ca="1">IF(Tableau3[[#This Row],[Date prochaine évaluation]]&gt; TODAY(),"Réussi","Examen expiré")</f>
        <v>Réussi</v>
      </c>
      <c r="AB136" s="6">
        <f t="shared" si="53"/>
        <v>46577</v>
      </c>
      <c r="AC136" s="46" t="e">
        <f t="shared" ca="1" si="58"/>
        <v>#VALUE!</v>
      </c>
      <c r="AD136" s="143"/>
    </row>
    <row r="137" spans="2:30" ht="48" x14ac:dyDescent="0.35">
      <c r="B137" s="52" t="s">
        <v>410</v>
      </c>
      <c r="C137" s="50" t="s">
        <v>411</v>
      </c>
      <c r="D137" s="52" t="s">
        <v>56</v>
      </c>
      <c r="E137" s="86"/>
      <c r="F137" s="65" t="str">
        <f ca="1">IF(Tableau3[[#This Row],[Date d''expiration ]]&gt;TODAY()+31,"✅",IF(Tableau3[[#This Row],[Date d''expiration ]]&gt; TODAY()+1, "⚠️","⛔️"))</f>
        <v>✅</v>
      </c>
      <c r="G137" s="21">
        <f t="shared" si="55"/>
        <v>46375</v>
      </c>
      <c r="H137" s="40" t="str">
        <f ca="1">IF( Tableau3[[#This Row],[Date d''expiration ]]&gt;TODAY(),"Néant","Cas à justifier")</f>
        <v>Néant</v>
      </c>
      <c r="I137" s="20">
        <v>33473</v>
      </c>
      <c r="J137" s="75">
        <f t="shared" ca="1" si="51"/>
        <v>35.039014373716633</v>
      </c>
      <c r="K137" s="75">
        <f>YEARFRAC(I137,RG_DRH_S1_008!$E$4,1)</f>
        <v>34.356617647058826</v>
      </c>
      <c r="L137" s="75">
        <f>YEARFRAC(I137,RG_DRH_S1_008!$E$5,1)</f>
        <v>35.356605065023956</v>
      </c>
      <c r="M137" s="3" t="s">
        <v>390</v>
      </c>
      <c r="N137" s="3" t="s">
        <v>396</v>
      </c>
      <c r="O137" s="3" t="s">
        <v>397</v>
      </c>
      <c r="P137" s="42">
        <v>45947</v>
      </c>
      <c r="Q137" s="41" t="s">
        <v>47</v>
      </c>
      <c r="R137" s="76">
        <f t="shared" si="56"/>
        <v>34.151282853566961</v>
      </c>
      <c r="S137" s="19" t="str">
        <f>IF(L137&lt;40,"4",IF(L137&lt;50,"3",IF(L137&lt;55,IF(Tableau3[[#This Row],[Fonction]]="Conducteur de ligne","2","3"),"1")))</f>
        <v>4</v>
      </c>
      <c r="T137" s="6">
        <f t="shared" si="54"/>
        <v>47408</v>
      </c>
      <c r="U137" s="42">
        <v>45239</v>
      </c>
      <c r="V137" s="41" t="s">
        <v>48</v>
      </c>
      <c r="W137" s="75">
        <f t="shared" si="57"/>
        <v>32.214220526010124</v>
      </c>
      <c r="X137" s="6" t="str">
        <f>IF(L137&lt;40,"4",IF(L137&lt;55,"3",IF(Tableau3[[#This Row],[Fonction]]="conducteur de ligne","1","2")))</f>
        <v>4</v>
      </c>
      <c r="Y137" s="6">
        <f t="shared" si="52"/>
        <v>46700</v>
      </c>
      <c r="Z137" s="42">
        <v>46010</v>
      </c>
      <c r="AA137" s="3" t="str">
        <f ca="1">IF(Tableau3[[#This Row],[Date prochaine évaluation]]&gt; TODAY(),"Réussi","Examen expiré")</f>
        <v>Réussi</v>
      </c>
      <c r="AB137" s="6">
        <f t="shared" si="53"/>
        <v>46375</v>
      </c>
      <c r="AC137" s="46" t="e">
        <f t="shared" ca="1" si="58"/>
        <v>#VALUE!</v>
      </c>
      <c r="AD137" s="143"/>
    </row>
    <row r="138" spans="2:30" ht="48" x14ac:dyDescent="0.35">
      <c r="B138" s="41" t="s">
        <v>412</v>
      </c>
      <c r="C138" s="41" t="s">
        <v>413</v>
      </c>
      <c r="D138" s="41" t="s">
        <v>56</v>
      </c>
      <c r="E138" s="39"/>
      <c r="F138" s="65" t="str">
        <f ca="1">IF(Tableau3[[#This Row],[Date d''expiration ]]&gt;TODAY()+31,"✅",IF(Tableau3[[#This Row],[Date d''expiration ]]&gt; TODAY()+1, "⚠️","⛔️"))</f>
        <v>✅</v>
      </c>
      <c r="G138" s="6">
        <f t="shared" si="55"/>
        <v>46517</v>
      </c>
      <c r="H138" s="40" t="str">
        <f ca="1">IF( Tableau3[[#This Row],[Date d''expiration ]]&gt;TODAY(),"Néant","Cas à justifier")</f>
        <v>Néant</v>
      </c>
      <c r="I138" s="6">
        <v>36473</v>
      </c>
      <c r="J138" s="75">
        <f t="shared" ca="1" si="51"/>
        <v>26.82546201232033</v>
      </c>
      <c r="K138" s="75">
        <f>YEARFRAC(I138,RG_DRH_S1_008!$E$4,1)</f>
        <v>26.143074427093897</v>
      </c>
      <c r="L138" s="75">
        <f>YEARFRAC(I138,RG_DRH_S1_008!$E$5,1)</f>
        <v>27.143052703627653</v>
      </c>
      <c r="M138" s="3" t="s">
        <v>390</v>
      </c>
      <c r="N138" s="3" t="s">
        <v>396</v>
      </c>
      <c r="O138" s="3" t="s">
        <v>397</v>
      </c>
      <c r="P138" s="42">
        <v>45616</v>
      </c>
      <c r="Q138" s="41" t="s">
        <v>47</v>
      </c>
      <c r="R138" s="76">
        <f t="shared" si="56"/>
        <v>25.030851847951986</v>
      </c>
      <c r="S138" s="19" t="str">
        <f>IF(L138&lt;40,"4",IF(L138&lt;50,"3",IF(L138&lt;55,IF(Tableau3[[#This Row],[Fonction]]="Conducteur de ligne","2","3"),"1")))</f>
        <v>4</v>
      </c>
      <c r="T138" s="6">
        <f t="shared" si="54"/>
        <v>47077</v>
      </c>
      <c r="U138" s="42">
        <v>45257</v>
      </c>
      <c r="V138" s="41" t="s">
        <v>48</v>
      </c>
      <c r="W138" s="75">
        <f t="shared" si="57"/>
        <v>24.049939765633557</v>
      </c>
      <c r="X138" s="6" t="str">
        <f>IF(L138&lt;40,"4",IF(L138&lt;55,"3",IF(Tableau3[[#This Row],[Fonction]]="conducteur de ligne","1","2")))</f>
        <v>4</v>
      </c>
      <c r="Y138" s="6">
        <f t="shared" si="52"/>
        <v>46718</v>
      </c>
      <c r="Z138" s="42">
        <v>46152</v>
      </c>
      <c r="AA138" s="3" t="str">
        <f ca="1">IF(Tableau3[[#This Row],[Date prochaine évaluation]]&gt; TODAY(),"Réussi","Examen expiré")</f>
        <v>Réussi</v>
      </c>
      <c r="AB138" s="6">
        <f t="shared" si="53"/>
        <v>46517</v>
      </c>
      <c r="AC138" s="46" t="e">
        <f t="shared" ca="1" si="58"/>
        <v>#VALUE!</v>
      </c>
      <c r="AD138" s="143"/>
    </row>
    <row r="139" spans="2:30" ht="48" x14ac:dyDescent="0.35">
      <c r="B139" s="41" t="s">
        <v>414</v>
      </c>
      <c r="C139" s="41" t="s">
        <v>415</v>
      </c>
      <c r="D139" s="41" t="s">
        <v>56</v>
      </c>
      <c r="E139" s="39"/>
      <c r="F139" s="65" t="str">
        <f ca="1">IF(Tableau3[[#This Row],[Date d''expiration ]]&gt;TODAY()+31,"✅",IF(Tableau3[[#This Row],[Date d''expiration ]]&gt; TODAY()+1, "⚠️","⛔️"))</f>
        <v>✅</v>
      </c>
      <c r="G139" s="6">
        <f t="shared" si="55"/>
        <v>46532</v>
      </c>
      <c r="H139" s="40" t="str">
        <f ca="1">IF( Tableau3[[#This Row],[Date d''expiration ]]&gt;TODAY(),"Néant","Cas à justifier")</f>
        <v>Néant</v>
      </c>
      <c r="I139" s="6">
        <v>35005</v>
      </c>
      <c r="J139" s="75">
        <f t="shared" ca="1" si="51"/>
        <v>30.844626967830255</v>
      </c>
      <c r="K139" s="75">
        <f>YEARFRAC(I139,RG_DRH_S1_008!$E$4,1)</f>
        <v>30.162236156495631</v>
      </c>
      <c r="L139" s="75">
        <f>YEARFRAC(I139,RG_DRH_S1_008!$E$5,1)</f>
        <v>31.162217659137578</v>
      </c>
      <c r="M139" s="3" t="s">
        <v>390</v>
      </c>
      <c r="N139" s="3" t="s">
        <v>396</v>
      </c>
      <c r="O139" s="3" t="s">
        <v>397</v>
      </c>
      <c r="P139" s="42">
        <v>45615</v>
      </c>
      <c r="Q139" s="41" t="s">
        <v>47</v>
      </c>
      <c r="R139" s="76">
        <f t="shared" si="56"/>
        <v>29.047271399890491</v>
      </c>
      <c r="S139" s="19" t="str">
        <f>IF(L139&lt;40,"4",IF(L139&lt;50,"3",IF(L139&lt;55,IF(Tableau3[[#This Row],[Fonction]]="Conducteur de ligne","2","3"),"1")))</f>
        <v>4</v>
      </c>
      <c r="T139" s="6">
        <f t="shared" si="54"/>
        <v>47076</v>
      </c>
      <c r="U139" s="42">
        <v>45255</v>
      </c>
      <c r="V139" s="41" t="s">
        <v>48</v>
      </c>
      <c r="W139" s="75">
        <f t="shared" si="57"/>
        <v>28.063632930513595</v>
      </c>
      <c r="X139" s="6" t="str">
        <f>IF(L139&lt;40,"4",IF(L139&lt;55,"3",IF(Tableau3[[#This Row],[Fonction]]="conducteur de ligne","1","2")))</f>
        <v>4</v>
      </c>
      <c r="Y139" s="6">
        <f t="shared" si="52"/>
        <v>46716</v>
      </c>
      <c r="Z139" s="42">
        <v>46167</v>
      </c>
      <c r="AA139" s="3" t="str">
        <f ca="1">IF(Tableau3[[#This Row],[Date prochaine évaluation]]&gt; TODAY(),"Réussi","Examen expiré")</f>
        <v>Réussi</v>
      </c>
      <c r="AB139" s="6">
        <f t="shared" si="53"/>
        <v>46532</v>
      </c>
      <c r="AC139" s="46" t="e">
        <f t="shared" ca="1" si="58"/>
        <v>#VALUE!</v>
      </c>
      <c r="AD139" s="143"/>
    </row>
    <row r="140" spans="2:30" ht="34.5" x14ac:dyDescent="0.35">
      <c r="B140" s="41" t="s">
        <v>416</v>
      </c>
      <c r="C140" s="41" t="s">
        <v>417</v>
      </c>
      <c r="D140" s="41" t="s">
        <v>56</v>
      </c>
      <c r="E140" s="39"/>
      <c r="F140" s="65" t="str">
        <f ca="1">IF(Tableau3[[#This Row],[Date d''expiration ]]&gt;TODAY()+31,"✅",IF(Tableau3[[#This Row],[Date d''expiration ]]&gt; TODAY()+1, "⚠️","⛔️"))</f>
        <v>✅</v>
      </c>
      <c r="G140" s="6">
        <f t="shared" si="55"/>
        <v>46333</v>
      </c>
      <c r="H140" s="40" t="str">
        <f ca="1">IF( Tableau3[[#This Row],[Date d''expiration ]]&gt;TODAY(),"Néant","Cas à justifier")</f>
        <v>Néant</v>
      </c>
      <c r="I140" s="6">
        <v>36674</v>
      </c>
      <c r="J140" s="75">
        <f t="shared" ca="1" si="51"/>
        <v>26.274487933482053</v>
      </c>
      <c r="K140" s="75">
        <f>YEARFRAC(I140,RG_DRH_S1_008!$E$4,1)</f>
        <v>25.592081710013687</v>
      </c>
      <c r="L140" s="75">
        <f>YEARFRAC(I140,RG_DRH_S1_008!$E$5,1)</f>
        <v>26.5920705739201</v>
      </c>
      <c r="M140" s="3" t="s">
        <v>237</v>
      </c>
      <c r="N140" s="3" t="s">
        <v>80</v>
      </c>
      <c r="O140" s="3" t="s">
        <v>81</v>
      </c>
      <c r="P140" s="42">
        <v>45653</v>
      </c>
      <c r="Q140" s="41" t="s">
        <v>47</v>
      </c>
      <c r="R140" s="76">
        <f t="shared" si="56"/>
        <v>24.581143232588701</v>
      </c>
      <c r="S140" s="19" t="str">
        <f>IF(L140&lt;40,"4",IF(L140&lt;50,"3",IF(L140&lt;55,IF(Tableau3[[#This Row],[Fonction]]="Conducteur de ligne","2","3"),"1")))</f>
        <v>4</v>
      </c>
      <c r="T140" s="6">
        <f t="shared" si="54"/>
        <v>47114</v>
      </c>
      <c r="U140" s="42">
        <v>45376</v>
      </c>
      <c r="V140" s="41" t="s">
        <v>48</v>
      </c>
      <c r="W140" s="75">
        <f t="shared" si="57"/>
        <v>23.82282084975909</v>
      </c>
      <c r="X140" s="6" t="str">
        <f>IF(L140&lt;40,"4",IF(L140&lt;55,"3",IF(Tableau3[[#This Row],[Fonction]]="conducteur de ligne","1","2")))</f>
        <v>4</v>
      </c>
      <c r="Y140" s="6">
        <f t="shared" si="52"/>
        <v>46837</v>
      </c>
      <c r="Z140" s="42">
        <v>45968</v>
      </c>
      <c r="AA140" s="3" t="str">
        <f ca="1">IF(Tableau3[[#This Row],[Date prochaine évaluation]]&gt; TODAY(),"Réussi","Examen expiré")</f>
        <v>Réussi</v>
      </c>
      <c r="AB140" s="6">
        <f t="shared" si="53"/>
        <v>46333</v>
      </c>
      <c r="AC140" s="46" t="e">
        <f t="shared" ca="1" si="58"/>
        <v>#VALUE!</v>
      </c>
      <c r="AD140" s="143"/>
    </row>
    <row r="141" spans="2:30" ht="34.5" x14ac:dyDescent="0.35">
      <c r="B141" s="41" t="s">
        <v>418</v>
      </c>
      <c r="C141" s="41" t="s">
        <v>419</v>
      </c>
      <c r="D141" s="41" t="s">
        <v>56</v>
      </c>
      <c r="E141" s="39"/>
      <c r="F141" s="65" t="str">
        <f ca="1">IF(Tableau3[[#This Row],[Date d''expiration ]]&gt;TODAY()+31,"✅",IF(Tableau3[[#This Row],[Date d''expiration ]]&gt; TODAY()+1, "⚠️","⛔️"))</f>
        <v>✅</v>
      </c>
      <c r="G141" s="6">
        <f t="shared" si="55"/>
        <v>46331</v>
      </c>
      <c r="H141" s="40" t="str">
        <f ca="1">IF( Tableau3[[#This Row],[Date d''expiration ]]&gt;TODAY(),"Néant","Cas à justifier")</f>
        <v>Néant</v>
      </c>
      <c r="I141" s="6">
        <v>37567</v>
      </c>
      <c r="J141" s="75">
        <f t="shared" ca="1" si="51"/>
        <v>23.830905705837257</v>
      </c>
      <c r="K141" s="75">
        <f>YEARFRAC(I141,RG_DRH_S1_008!$E$4,1)</f>
        <v>23.148528405201915</v>
      </c>
      <c r="L141" s="75">
        <f>YEARFRAC(I141,RG_DRH_S1_008!$E$5,1)</f>
        <v>24.148505092541889</v>
      </c>
      <c r="M141" s="3" t="s">
        <v>237</v>
      </c>
      <c r="N141" s="3" t="s">
        <v>80</v>
      </c>
      <c r="O141" s="3" t="s">
        <v>81</v>
      </c>
      <c r="P141" s="42">
        <v>45639</v>
      </c>
      <c r="Q141" s="41" t="s">
        <v>47</v>
      </c>
      <c r="R141" s="76">
        <f t="shared" si="56"/>
        <v>22.099273895964767</v>
      </c>
      <c r="S141" s="19" t="str">
        <f>IF(L141&lt;40,"4",IF(L141&lt;50,"3",IF(L141&lt;55,IF(Tableau3[[#This Row],[Fonction]]="Conducteur de ligne","2","3"),"1")))</f>
        <v>4</v>
      </c>
      <c r="T141" s="6">
        <f t="shared" si="54"/>
        <v>47100</v>
      </c>
      <c r="U141" s="42">
        <v>45376</v>
      </c>
      <c r="V141" s="41" t="s">
        <v>48</v>
      </c>
      <c r="W141" s="75">
        <f t="shared" si="57"/>
        <v>21.379240566599215</v>
      </c>
      <c r="X141" s="6" t="str">
        <f>IF(L141&lt;40,"4",IF(L141&lt;55,"3",IF(Tableau3[[#This Row],[Fonction]]="conducteur de ligne","1","2")))</f>
        <v>4</v>
      </c>
      <c r="Y141" s="6">
        <f t="shared" si="52"/>
        <v>46837</v>
      </c>
      <c r="Z141" s="42">
        <v>45966</v>
      </c>
      <c r="AA141" s="3" t="str">
        <f ca="1">IF(Tableau3[[#This Row],[Date prochaine évaluation]]&gt; TODAY(),"Réussi","Examen expiré")</f>
        <v>Réussi</v>
      </c>
      <c r="AB141" s="6">
        <f t="shared" si="53"/>
        <v>46331</v>
      </c>
      <c r="AC141" s="46" t="e">
        <f t="shared" ca="1" si="58"/>
        <v>#VALUE!</v>
      </c>
      <c r="AD141" s="143"/>
    </row>
    <row r="142" spans="2:30" ht="34.5" x14ac:dyDescent="0.35">
      <c r="B142" s="41" t="s">
        <v>420</v>
      </c>
      <c r="C142" s="41" t="s">
        <v>421</v>
      </c>
      <c r="D142" s="41" t="s">
        <v>257</v>
      </c>
      <c r="E142" s="40">
        <v>45639</v>
      </c>
      <c r="F142" s="65" t="str">
        <f ca="1">IF(Tableau3[[#This Row],[Date d''expiration ]]&gt;TODAY()+31,"✅",IF(Tableau3[[#This Row],[Date d''expiration ]]&gt; TODAY()+1, "⚠️","⛔️"))</f>
        <v>✅</v>
      </c>
      <c r="G142" s="6">
        <f t="shared" si="55"/>
        <v>46334</v>
      </c>
      <c r="H142" s="40" t="str">
        <f ca="1">IF( Tableau3[[#This Row],[Date d''expiration ]]&gt;TODAY(),"Néant","Cas à justifier")</f>
        <v>Néant</v>
      </c>
      <c r="I142" s="6">
        <v>34658</v>
      </c>
      <c r="J142" s="75">
        <f t="shared" ca="1" si="51"/>
        <v>31.795320667053844</v>
      </c>
      <c r="K142" s="75">
        <f>YEARFRAC(I142,RG_DRH_S1_008!$E$4,1)</f>
        <v>31.112936344969199</v>
      </c>
      <c r="L142" s="75">
        <f>YEARFRAC(I142,RG_DRH_S1_008!$E$5,1)</f>
        <v>32.112917945739646</v>
      </c>
      <c r="M142" s="3" t="s">
        <v>237</v>
      </c>
      <c r="N142" s="3" t="s">
        <v>50</v>
      </c>
      <c r="O142" s="3" t="s">
        <v>61</v>
      </c>
      <c r="P142" s="42">
        <v>45635</v>
      </c>
      <c r="Q142" s="41" t="s">
        <v>47</v>
      </c>
      <c r="R142" s="76">
        <f t="shared" si="56"/>
        <v>30.052724542965645</v>
      </c>
      <c r="S142" s="19" t="str">
        <f>IF(L142&lt;40,"4",IF(L142&lt;50,"3",IF(L142&lt;55,IF(Tableau3[[#This Row],[Fonction]]="Conducteur de ligne","2","3"),"1")))</f>
        <v>4</v>
      </c>
      <c r="T142" s="6">
        <f t="shared" si="54"/>
        <v>47096</v>
      </c>
      <c r="U142" s="42">
        <v>45355</v>
      </c>
      <c r="V142" s="41" t="s">
        <v>48</v>
      </c>
      <c r="W142" s="75">
        <f t="shared" si="57"/>
        <v>29.286143248255762</v>
      </c>
      <c r="X142" s="6" t="str">
        <f>IF(L142&lt;40,"4",IF(L142&lt;55,"3",IF(Tableau3[[#This Row],[Fonction]]="conducteur de ligne","1","2")))</f>
        <v>4</v>
      </c>
      <c r="Y142" s="6">
        <f t="shared" si="52"/>
        <v>46816</v>
      </c>
      <c r="Z142" s="42">
        <v>45969</v>
      </c>
      <c r="AA142" s="3" t="str">
        <f ca="1">IF(Tableau3[[#This Row],[Date prochaine évaluation]]&gt; TODAY(),"Réussi","Examen expiré")</f>
        <v>Réussi</v>
      </c>
      <c r="AB142" s="6">
        <f t="shared" si="53"/>
        <v>46334</v>
      </c>
      <c r="AC142" s="46" t="e">
        <f t="shared" ca="1" si="58"/>
        <v>#VALUE!</v>
      </c>
      <c r="AD142" s="143"/>
    </row>
    <row r="143" spans="2:30" ht="34.5" x14ac:dyDescent="0.35">
      <c r="B143" s="41" t="s">
        <v>422</v>
      </c>
      <c r="C143" s="41" t="s">
        <v>423</v>
      </c>
      <c r="D143" s="41" t="s">
        <v>247</v>
      </c>
      <c r="E143" s="40">
        <v>45639</v>
      </c>
      <c r="F143" s="65" t="str">
        <f ca="1">IF(Tableau3[[#This Row],[Date d''expiration ]]&gt;TODAY()+31,"✅",IF(Tableau3[[#This Row],[Date d''expiration ]]&gt; TODAY()+1, "⚠️","⛔️"))</f>
        <v>✅</v>
      </c>
      <c r="G143" s="6">
        <f t="shared" si="55"/>
        <v>46374</v>
      </c>
      <c r="H143" s="40" t="str">
        <f ca="1">IF( Tableau3[[#This Row],[Date d''expiration ]]&gt;TODAY(),"Néant","Cas à justifier")</f>
        <v>Néant</v>
      </c>
      <c r="I143" s="6">
        <v>36089</v>
      </c>
      <c r="J143" s="75">
        <f t="shared" ca="1" si="51"/>
        <v>27.877454682779458</v>
      </c>
      <c r="K143" s="75">
        <f>YEARFRAC(I143,RG_DRH_S1_008!$E$4,1)</f>
        <v>27.195071868583163</v>
      </c>
      <c r="L143" s="75">
        <f>YEARFRAC(I143,RG_DRH_S1_008!$E$5,1)</f>
        <v>28.195052870090635</v>
      </c>
      <c r="M143" s="3" t="s">
        <v>237</v>
      </c>
      <c r="N143" s="3" t="s">
        <v>50</v>
      </c>
      <c r="O143" s="3" t="s">
        <v>61</v>
      </c>
      <c r="P143" s="42">
        <v>45877</v>
      </c>
      <c r="Q143" s="41" t="s">
        <v>47</v>
      </c>
      <c r="R143" s="76">
        <f t="shared" si="56"/>
        <v>26.798083504449007</v>
      </c>
      <c r="S143" s="19" t="str">
        <f>IF(L143&lt;40,"4",IF(L143&lt;50,"3",IF(L143&lt;55,IF(Tableau3[[#This Row],[Fonction]]="Conducteur de ligne","2","3"),"1")))</f>
        <v>4</v>
      </c>
      <c r="T143" s="6">
        <f t="shared" si="54"/>
        <v>47338</v>
      </c>
      <c r="U143" s="42">
        <v>45355</v>
      </c>
      <c r="V143" s="41" t="s">
        <v>48</v>
      </c>
      <c r="W143" s="75">
        <f t="shared" ref="W143:W148" si="59">YEARFRAC(I143,U143,1)</f>
        <v>25.368282295680391</v>
      </c>
      <c r="X143" s="6" t="str">
        <f>IF(L143&lt;40,"4",IF(L143&lt;55,"3",IF(Tableau3[[#This Row],[Fonction]]="conducteur de ligne","1","2")))</f>
        <v>4</v>
      </c>
      <c r="Y143" s="6">
        <f t="shared" si="52"/>
        <v>46816</v>
      </c>
      <c r="Z143" s="42">
        <v>46009</v>
      </c>
      <c r="AA143" s="3" t="str">
        <f ca="1">IF(Tableau3[[#This Row],[Date prochaine évaluation]]&gt; TODAY(),"Réussi","Examen expiré")</f>
        <v>Réussi</v>
      </c>
      <c r="AB143" s="6">
        <f t="shared" si="53"/>
        <v>46374</v>
      </c>
      <c r="AC143" s="46" t="e">
        <f t="shared" ca="1" si="58"/>
        <v>#VALUE!</v>
      </c>
      <c r="AD143" s="143"/>
    </row>
    <row r="144" spans="2:30" ht="47.5" customHeight="1" x14ac:dyDescent="0.35">
      <c r="B144" s="41" t="s">
        <v>424</v>
      </c>
      <c r="C144" s="91" t="s">
        <v>425</v>
      </c>
      <c r="D144" s="41" t="s">
        <v>56</v>
      </c>
      <c r="E144" s="41"/>
      <c r="F144" s="65" t="str">
        <f ca="1">IF(Tableau3[[#This Row],[Date d''expiration ]]&gt;TODAY()+31,"✅",IF(Tableau3[[#This Row],[Date d''expiration ]]&gt; TODAY()+1, "⚠️","⛔️"))</f>
        <v>✅</v>
      </c>
      <c r="G144" s="88">
        <f>MIN(T144,Y144,AB144)</f>
        <v>46395</v>
      </c>
      <c r="H144" s="87" t="str">
        <f ca="1">IF( Tableau3[[#This Row],[Date d''expiration ]]&gt;TODAY(),"Néant","Cas à justifier")</f>
        <v>Néant</v>
      </c>
      <c r="I144" s="98">
        <v>36417</v>
      </c>
      <c r="J144" s="89">
        <f t="shared" ref="J144:J157" ca="1" si="60">YEARFRAC(I144,TODAY(),1)</f>
        <v>26.978781656399725</v>
      </c>
      <c r="K144" s="89">
        <f>YEARFRAC(I144,RG_DRH_S1_008!$E$4,1)</f>
        <v>26.296390184546748</v>
      </c>
      <c r="L144" s="89">
        <f>YEARFRAC(I144,RG_DRH_S1_008!$E$5,1)</f>
        <v>27.296372347707049</v>
      </c>
      <c r="M144" s="95" t="s">
        <v>237</v>
      </c>
      <c r="N144" s="90" t="s">
        <v>426</v>
      </c>
      <c r="O144" s="3" t="s">
        <v>427</v>
      </c>
      <c r="P144" s="87">
        <v>46174</v>
      </c>
      <c r="Q144" s="41" t="s">
        <v>47</v>
      </c>
      <c r="R144" s="93">
        <f>YEARFRAC(I144,P144,1)</f>
        <v>26.713210130047912</v>
      </c>
      <c r="S144" s="88" t="str">
        <f>IF(L144&lt;40,"4",IF(L144&lt;50,"3",IF(L144&lt;55,IF(Tableau3[[#This Row],[Fonction]]="Conducteur de ligne","2","3"),"1")))</f>
        <v>4</v>
      </c>
      <c r="T144" s="92">
        <f>EDATE(P144, (12*S144))</f>
        <v>47635</v>
      </c>
      <c r="U144" s="87">
        <v>45840</v>
      </c>
      <c r="V144" s="41" t="s">
        <v>48</v>
      </c>
      <c r="W144" s="93">
        <f t="shared" si="59"/>
        <v>25.798113972824986</v>
      </c>
      <c r="X144" s="88" t="str">
        <f>IF(L144&lt;40,"4",IF(L144&lt;55,"3",IF(Tableau3[[#This Row],[Fonction]]="conducteur de ligne","1","2")))</f>
        <v>4</v>
      </c>
      <c r="Y144" s="88">
        <f>EDATE(U144, (12*X144))</f>
        <v>47301</v>
      </c>
      <c r="Z144" s="99">
        <v>46030</v>
      </c>
      <c r="AA144" s="90" t="str">
        <f ca="1">IF(Tableau3[[#This Row],[Date prochaine évaluation]]&gt; TODAY(),"Réussi","Examen expiré")</f>
        <v>Réussi</v>
      </c>
      <c r="AB144" s="88">
        <f>EDATE(Z144, 12)</f>
        <v>46395</v>
      </c>
      <c r="AC144" s="46" t="e">
        <f t="shared" ca="1" si="58"/>
        <v>#VALUE!</v>
      </c>
      <c r="AD144" s="143"/>
    </row>
    <row r="145" spans="1:30" ht="50.15" customHeight="1" x14ac:dyDescent="0.35">
      <c r="B145" s="41" t="s">
        <v>428</v>
      </c>
      <c r="C145" s="41" t="s">
        <v>429</v>
      </c>
      <c r="D145" s="41" t="s">
        <v>56</v>
      </c>
      <c r="E145" s="42">
        <v>44882</v>
      </c>
      <c r="F145" s="65" t="str">
        <f ca="1">IF(Tableau3[[#This Row],[Date d''expiration ]]&gt;TODAY()+31,"✅",IF(Tableau3[[#This Row],[Date d''expiration ]]&gt; TODAY()+1, "⚠️","⛔️"))</f>
        <v>✅</v>
      </c>
      <c r="G145" s="88">
        <f>MIN(T145,Y145,AB145)</f>
        <v>46361</v>
      </c>
      <c r="H145" s="87" t="str">
        <f ca="1">IF( Tableau3[[#This Row],[Date d''expiration ]]&gt;TODAY(),"Néant","Cas à justifier")</f>
        <v>Néant</v>
      </c>
      <c r="I145" s="46">
        <v>36571</v>
      </c>
      <c r="J145" s="89">
        <f t="shared" ca="1" si="60"/>
        <v>26.556479415939972</v>
      </c>
      <c r="K145" s="89">
        <f>YEARFRAC(I145,RG_DRH_S1_008!$E$4,1)</f>
        <v>25.874065494366643</v>
      </c>
      <c r="L145" s="89">
        <f>YEARFRAC(I145,RG_DRH_S1_008!$E$5,1)</f>
        <v>26.874062056378019</v>
      </c>
      <c r="M145" s="95" t="s">
        <v>237</v>
      </c>
      <c r="N145" s="3" t="s">
        <v>430</v>
      </c>
      <c r="O145" s="3" t="s">
        <v>427</v>
      </c>
      <c r="P145" s="42">
        <v>45616</v>
      </c>
      <c r="Q145" s="41" t="s">
        <v>47</v>
      </c>
      <c r="R145" s="93">
        <f>YEARFRAC(I145,P145,1)</f>
        <v>24.761826544021027</v>
      </c>
      <c r="S145" s="88" t="str">
        <f>IF(L145&lt;40,"4",IF(L145&lt;50,"3",IF(L145&lt;55,IF(Tableau3[[#This Row],[Fonction]]="Conducteur de ligne","2","3"),"1")))</f>
        <v>4</v>
      </c>
      <c r="T145" s="92">
        <f>EDATE(P145, (12*S145))</f>
        <v>47077</v>
      </c>
      <c r="U145" s="42">
        <v>45615</v>
      </c>
      <c r="V145" s="41" t="s">
        <v>48</v>
      </c>
      <c r="W145" s="93">
        <f t="shared" si="59"/>
        <v>24.759088918090235</v>
      </c>
      <c r="X145" s="88" t="str">
        <f>IF(L145&lt;40,"4",IF(L145&lt;55,"3",IF(Tableau3[[#This Row],[Fonction]]="conducteur de ligne","1","2")))</f>
        <v>4</v>
      </c>
      <c r="Y145" s="88">
        <f>EDATE(U145, (12*X145))</f>
        <v>47076</v>
      </c>
      <c r="Z145" s="99">
        <v>45996</v>
      </c>
      <c r="AA145" s="90" t="str">
        <f ca="1">IF(Tableau3[[#This Row],[Date prochaine évaluation]]&gt; TODAY(),"Réussi","Examen expiré")</f>
        <v>Réussi</v>
      </c>
      <c r="AB145" s="88">
        <f>EDATE(Z145, 12)</f>
        <v>46361</v>
      </c>
      <c r="AC145" s="46" t="e">
        <f t="shared" ca="1" si="58"/>
        <v>#VALUE!</v>
      </c>
      <c r="AD145" s="143"/>
    </row>
    <row r="146" spans="1:30" ht="44.5" customHeight="1" x14ac:dyDescent="0.35">
      <c r="B146" s="97" t="s">
        <v>431</v>
      </c>
      <c r="C146" s="97" t="s">
        <v>432</v>
      </c>
      <c r="D146" s="97" t="s">
        <v>56</v>
      </c>
      <c r="E146" s="97"/>
      <c r="F146" s="125" t="str">
        <f ca="1">IF(Tableau3[[#This Row],[Date d''expiration ]]&gt;TODAY()+31,"✅",IF(Tableau3[[#This Row],[Date d''expiration ]]&gt; TODAY()+1, "⚠️","⛔️"))</f>
        <v>✅</v>
      </c>
      <c r="G146" s="126">
        <f>MIN(T146,Y146,AB146)</f>
        <v>46420</v>
      </c>
      <c r="H146" s="127" t="str">
        <f ca="1">IF( Tableau3[[#This Row],[Date d''expiration ]]&gt;TODAY(),"Néant","Cas à justifier")</f>
        <v>Néant</v>
      </c>
      <c r="I146" s="46">
        <v>31613</v>
      </c>
      <c r="J146" s="128">
        <f t="shared" ca="1" si="60"/>
        <v>40.132086811352252</v>
      </c>
      <c r="K146" s="128">
        <f>YEARFRAC(I146,RG_DRH_S1_008!$E$4,1)</f>
        <v>39.449691991786445</v>
      </c>
      <c r="L146" s="128">
        <f>YEARFRAC(I146,RG_DRH_S1_008!$E$5,1)</f>
        <v>40.44968280467446</v>
      </c>
      <c r="M146" s="129" t="s">
        <v>237</v>
      </c>
      <c r="N146" s="130" t="s">
        <v>433</v>
      </c>
      <c r="O146" s="130" t="s">
        <v>81</v>
      </c>
      <c r="P146" s="94">
        <v>46223</v>
      </c>
      <c r="Q146" s="97" t="s">
        <v>47</v>
      </c>
      <c r="R146" s="131">
        <f>YEARFRAC(I146,P146,1)</f>
        <v>40.000667779632721</v>
      </c>
      <c r="S146" s="126" t="str">
        <f>IF(L146&lt;40,"4",IF(L146&lt;50,"3",IF(L146&lt;55,IF(Tableau3[[#This Row],[Fonction]]="Conducteur de ligne","2","3"),"1")))</f>
        <v>3</v>
      </c>
      <c r="T146" s="132">
        <f>EDATE(P146, (12*S146))</f>
        <v>47319</v>
      </c>
      <c r="U146" s="94">
        <v>46220</v>
      </c>
      <c r="V146" s="97" t="s">
        <v>48</v>
      </c>
      <c r="W146" s="131">
        <f t="shared" si="59"/>
        <v>39.992454090150247</v>
      </c>
      <c r="X146" s="126" t="str">
        <f>IF(L146&lt;40,"4",IF(L146&lt;55,"3",IF(Tableau3[[#This Row],[Fonction]]="conducteur de ligne","1","2")))</f>
        <v>3</v>
      </c>
      <c r="Y146" s="126">
        <f>EDATE(U146, (12*X146))</f>
        <v>47316</v>
      </c>
      <c r="Z146" s="99">
        <v>46055</v>
      </c>
      <c r="AA146" s="90" t="str">
        <f ca="1">IF(Tableau3[[#This Row],[Date prochaine évaluation]]&gt; TODAY(),"Réussi","Examen expiré")</f>
        <v>Réussi</v>
      </c>
      <c r="AB146" s="88">
        <f>EDATE(Z146, 12)</f>
        <v>46420</v>
      </c>
      <c r="AC146" s="46" t="e">
        <f t="shared" ca="1" si="58"/>
        <v>#VALUE!</v>
      </c>
      <c r="AD146" s="143"/>
    </row>
    <row r="147" spans="1:30" ht="39.75" hidden="1" customHeight="1" x14ac:dyDescent="0.35">
      <c r="B147" s="39" t="s">
        <v>434</v>
      </c>
      <c r="C147" s="43" t="s">
        <v>435</v>
      </c>
      <c r="D147" s="97" t="s">
        <v>56</v>
      </c>
      <c r="E147" s="87"/>
      <c r="F147" s="46" t="str">
        <f ca="1">IF(Tableau3[[#This Row],[Date d''expiration ]]&gt;TODAY()+31,"✅",IF(Tableau3[[#This Row],[Date d''expiration ]]&gt; TODAY()+1, "⚠️","⛔️"))</f>
        <v>✅</v>
      </c>
      <c r="G147" s="6">
        <f t="shared" ref="G147" si="61">MIN(T147,Y147,AB147)</f>
        <v>46339</v>
      </c>
      <c r="H147" s="99" t="str">
        <f ca="1">IF(Tableau3[[#This Row],[Validité ]]&gt;TODAY(),"Néant","Cas à justifier")</f>
        <v>Néant</v>
      </c>
      <c r="I147" s="99">
        <v>34780</v>
      </c>
      <c r="J147" s="75">
        <f t="shared" ca="1" si="60"/>
        <v>31.460643394934976</v>
      </c>
      <c r="K147" s="75">
        <f>YEARFRAC(I147,RG_DRH_S1_008!$E$4,1)</f>
        <v>30.778238982601785</v>
      </c>
      <c r="L147" s="75">
        <f>YEARFRAC(I147,RG_DRH_S1_008!$E$5,1)</f>
        <v>31.7782340862423</v>
      </c>
      <c r="M147" s="3" t="s">
        <v>44</v>
      </c>
      <c r="N147" s="90"/>
      <c r="O147" s="90"/>
      <c r="P147" s="87">
        <v>45898</v>
      </c>
      <c r="Q147" s="147" t="s">
        <v>47</v>
      </c>
      <c r="R147" s="131">
        <f>YEARFRAC(I147,P147,1)</f>
        <v>30.438752980658837</v>
      </c>
      <c r="S147" s="136" t="str">
        <f>IF(L147&lt;40,"4",IF(L147&lt;50,"3",IF(L147&lt;55,IF(Tableau3[[#This Row],[Fonction]]="Conducteur de ligne","2","3"),"1")))</f>
        <v>4</v>
      </c>
      <c r="T147" s="136">
        <f>EDATE(P147, (12*S147))</f>
        <v>47359</v>
      </c>
      <c r="U147" s="99">
        <v>45240</v>
      </c>
      <c r="V147" s="147" t="s">
        <v>48</v>
      </c>
      <c r="W147" s="138">
        <f t="shared" si="59"/>
        <v>28.638595166163142</v>
      </c>
      <c r="X147" s="136" t="str">
        <f>IF(L147&lt;40,"4",IF(L147&lt;55,"3",IF(Tableau3[[#This Row],[Fonction]]="conducteur de ligne","1","2")))</f>
        <v>4</v>
      </c>
      <c r="Y147" s="136">
        <f>EDATE(U147, (12*X147))</f>
        <v>46701</v>
      </c>
      <c r="Z147" s="99">
        <v>45974</v>
      </c>
      <c r="AA147" s="96" t="str">
        <f ca="1">IF(Tableau3[[#This Row],[Date prochaine évaluation]]&gt; TODAY(),"Réussi","Examen expiré")</f>
        <v>Réussi</v>
      </c>
      <c r="AB147" s="126">
        <f>EDATE(Z147, 12)</f>
        <v>46339</v>
      </c>
      <c r="AC147" s="46" t="e">
        <f t="shared" ca="1" si="58"/>
        <v>#VALUE!</v>
      </c>
      <c r="AD147" s="143"/>
    </row>
    <row r="148" spans="1:30" ht="31.5" customHeight="1" x14ac:dyDescent="0.35">
      <c r="B148" s="39" t="s">
        <v>436</v>
      </c>
      <c r="C148" s="146" t="s">
        <v>437</v>
      </c>
      <c r="D148" s="146"/>
      <c r="E148" s="87">
        <v>45932</v>
      </c>
      <c r="F148" s="46" t="str">
        <f ca="1">IF(Tableau3[[#This Row],[Date d''expiration ]]&gt;TODAY()+31,"✅",IF(Tableau3[[#This Row],[Date d''expiration ]]&gt; TODAY()+1, "⚠️","⛔️"))</f>
        <v>⚠️</v>
      </c>
      <c r="G148" s="6">
        <f t="shared" ref="G148" si="62">MIN(T148,Y148,AB148)</f>
        <v>46297</v>
      </c>
      <c r="H148" s="99" t="str">
        <f ca="1">IF(Tableau3[[#This Row],[Validité ]]&gt;TODAY(),"Néant","Cas à justifier")</f>
        <v>Néant</v>
      </c>
      <c r="I148" s="99">
        <v>34780</v>
      </c>
      <c r="J148" s="75">
        <f t="shared" ca="1" si="60"/>
        <v>31.460643394934976</v>
      </c>
      <c r="K148" s="75">
        <f>YEARFRAC(I148,RG_DRH_S1_008!$E$4,1)</f>
        <v>30.778238982601785</v>
      </c>
      <c r="L148" s="75">
        <f>YEARFRAC(I148,RG_DRH_S1_008!$E$5,1)</f>
        <v>31.7782340862423</v>
      </c>
      <c r="M148" s="139" t="s">
        <v>237</v>
      </c>
      <c r="N148" s="90"/>
      <c r="O148" s="90"/>
      <c r="P148" s="87">
        <v>45693</v>
      </c>
      <c r="Q148" s="147" t="s">
        <v>47</v>
      </c>
      <c r="R148" s="131">
        <f>YEARFRAC(I148,P148,1)</f>
        <v>29.877505961317674</v>
      </c>
      <c r="S148" s="136" t="str">
        <f>IF(L148&lt;40,"4",IF(L148&lt;50,"3",IF(L148&lt;55,IF(Tableau3[[#This Row],[Fonction]]="Conducteur de ligne","2","3"),"1")))</f>
        <v>4</v>
      </c>
      <c r="T148" s="136">
        <f>EDATE(P148, (12*S148))</f>
        <v>47154</v>
      </c>
      <c r="U148" s="99">
        <v>45693</v>
      </c>
      <c r="V148" s="147" t="s">
        <v>48</v>
      </c>
      <c r="W148" s="138">
        <f t="shared" si="59"/>
        <v>29.877505961317674</v>
      </c>
      <c r="X148" s="136" t="str">
        <f>IF(L148&lt;40,"4",IF(L148&lt;55,"3",IF(Tableau3[[#This Row],[Fonction]]="conducteur de ligne","1","2")))</f>
        <v>4</v>
      </c>
      <c r="Y148" s="136">
        <f>EDATE(U148, (12*X148))</f>
        <v>47154</v>
      </c>
      <c r="Z148" s="99">
        <v>45932</v>
      </c>
      <c r="AA148" s="96" t="str">
        <f ca="1">IF(Tableau3[[#This Row],[Date prochaine évaluation]]&gt; TODAY(),"Réussi","Examen expiré")</f>
        <v>Réussi</v>
      </c>
      <c r="AB148" s="126">
        <f>EDATE(Z148, 12)</f>
        <v>46297</v>
      </c>
      <c r="AC148" s="46" t="e">
        <f t="shared" ca="1" si="58"/>
        <v>#VALUE!</v>
      </c>
      <c r="AD148" s="143"/>
    </row>
    <row r="149" spans="1:30" ht="35.25" customHeight="1" x14ac:dyDescent="0.35">
      <c r="B149" s="39" t="s">
        <v>438</v>
      </c>
      <c r="C149" s="145" t="s">
        <v>439</v>
      </c>
      <c r="D149" s="97" t="s">
        <v>56</v>
      </c>
      <c r="E149" s="163">
        <v>45932</v>
      </c>
      <c r="F149" s="46" t="str">
        <f ca="1">IF(Tableau3[[#This Row],[Date d''expiration ]]&gt;TODAY()+31,"✅",IF(Tableau3[[#This Row],[Date d''expiration ]]&gt; TODAY()+1, "⚠️","⛔️"))</f>
        <v>⛔️</v>
      </c>
      <c r="G149" s="46">
        <v>45932</v>
      </c>
      <c r="H149" s="99" t="str">
        <f ca="1">IF(Tableau3[[#This Row],[Validité ]]&gt;TODAY(),"Néant","Cas à justifier")</f>
        <v>Néant</v>
      </c>
      <c r="I149" s="6">
        <v>33238</v>
      </c>
      <c r="J149" s="75">
        <f t="shared" ca="1" si="60"/>
        <v>35.683069409501257</v>
      </c>
      <c r="K149" s="75">
        <f>YEARFRAC(I149,RG_DRH_S1_008!$E$4,1)</f>
        <v>35.000684462696782</v>
      </c>
      <c r="L149" s="75">
        <f>YEARFRAC(I149,RG_DRH_S1_008!$E$5,1)</f>
        <v>36.000665976024862</v>
      </c>
      <c r="M149" s="139" t="s">
        <v>237</v>
      </c>
      <c r="N149" s="90"/>
      <c r="O149" s="90"/>
      <c r="P149" s="87">
        <v>45695</v>
      </c>
      <c r="Q149" s="147" t="s">
        <v>47</v>
      </c>
      <c r="R149" s="131">
        <f t="shared" ref="R149:R154" si="63">YEARFRAC(I149,P149,1)</f>
        <v>34.105407255304584</v>
      </c>
      <c r="S149" s="136" t="str">
        <f>IF(L149&lt;40,"4",IF(L149&lt;50,"3",IF(L149&lt;55,IF(Tableau3[[#This Row],[Fonction]]="Conducteur de ligne","2","3"),"1")))</f>
        <v>4</v>
      </c>
      <c r="T149" s="136">
        <f t="shared" ref="T149:T154" si="64">EDATE(P149, (12*S149))</f>
        <v>47156</v>
      </c>
      <c r="U149" s="99">
        <v>45695</v>
      </c>
      <c r="V149" s="147" t="s">
        <v>48</v>
      </c>
      <c r="W149" s="138">
        <f t="shared" ref="W149:W154" si="65">YEARFRAC(I149,U149,1)</f>
        <v>34.105407255304584</v>
      </c>
      <c r="X149" s="136" t="str">
        <f>IF(L149&lt;40,"4",IF(L149&lt;55,"3",IF(Tableau3[[#This Row],[Fonction]]="conducteur de ligne","1","2")))</f>
        <v>4</v>
      </c>
      <c r="Y149" s="136">
        <f t="shared" ref="Y149:Y154" si="66">EDATE(U149, (12*X149))</f>
        <v>47156</v>
      </c>
      <c r="Z149" s="99">
        <v>45932</v>
      </c>
      <c r="AA149" s="96" t="str">
        <f ca="1">IF(Tableau3[[#This Row],[Date prochaine évaluation]]&gt; TODAY(),"Réussi","Examen expiré")</f>
        <v>Réussi</v>
      </c>
      <c r="AB149" s="126">
        <f t="shared" ref="AB149:AB157" si="67">EDATE(Z149, 12)</f>
        <v>46297</v>
      </c>
      <c r="AC149" s="46"/>
      <c r="AD149" s="143"/>
    </row>
    <row r="150" spans="1:30" ht="30" customHeight="1" x14ac:dyDescent="0.35">
      <c r="B150" s="39" t="s">
        <v>440</v>
      </c>
      <c r="C150" s="148" t="s">
        <v>441</v>
      </c>
      <c r="D150" s="97" t="s">
        <v>56</v>
      </c>
      <c r="E150" s="163">
        <v>45943</v>
      </c>
      <c r="F150" s="46" t="str">
        <f ca="1">IF(Tableau3[[#This Row],[Date d''expiration ]]&gt;TODAY()+31,"✅",IF(Tableau3[[#This Row],[Date d''expiration ]]&gt; TODAY()+1, "⚠️","⛔️"))</f>
        <v>⛔️</v>
      </c>
      <c r="G150" s="46">
        <v>45939</v>
      </c>
      <c r="H150" s="99" t="str">
        <f ca="1">IF(Tableau3[[#This Row],[Validité ]]&gt;TODAY(),"Néant","Cas à justifier")</f>
        <v>Néant</v>
      </c>
      <c r="I150" s="6">
        <v>35605</v>
      </c>
      <c r="J150" s="75">
        <f t="shared" ca="1" si="60"/>
        <v>29.203249064524961</v>
      </c>
      <c r="K150" s="75">
        <f>YEARFRAC(I150,RG_DRH_S1_008!$E$4,1)</f>
        <v>28.520864803625379</v>
      </c>
      <c r="L150" s="75">
        <f>YEARFRAC(I150,RG_DRH_S1_008!$E$5,1)</f>
        <v>29.520854248425664</v>
      </c>
      <c r="M150" s="139" t="s">
        <v>237</v>
      </c>
      <c r="N150" s="90"/>
      <c r="O150" s="90"/>
      <c r="P150" s="87">
        <v>45694</v>
      </c>
      <c r="Q150" s="147" t="s">
        <v>47</v>
      </c>
      <c r="R150" s="131">
        <f t="shared" si="63"/>
        <v>27.622828549848943</v>
      </c>
      <c r="S150" s="136" t="str">
        <f>IF(L150&lt;40,"4",IF(L150&lt;50,"3",IF(L150&lt;55,IF(Tableau3[[#This Row],[Fonction]]="Conducteur de ligne","2","3"),"1")))</f>
        <v>4</v>
      </c>
      <c r="T150" s="136">
        <f t="shared" si="64"/>
        <v>47155</v>
      </c>
      <c r="U150" s="99">
        <v>45694</v>
      </c>
      <c r="V150" s="147" t="s">
        <v>48</v>
      </c>
      <c r="W150" s="138">
        <f t="shared" si="65"/>
        <v>27.622828549848943</v>
      </c>
      <c r="X150" s="136" t="str">
        <f>IF(L150&lt;40,"4",IF(L150&lt;55,"3",IF(Tableau3[[#This Row],[Fonction]]="conducteur de ligne","1","2")))</f>
        <v>4</v>
      </c>
      <c r="Y150" s="136">
        <f t="shared" si="66"/>
        <v>47155</v>
      </c>
      <c r="Z150" s="99">
        <v>45939</v>
      </c>
      <c r="AA150" s="96" t="str">
        <f ca="1">IF(Tableau3[[#This Row],[Date prochaine évaluation]]&gt; TODAY(),"Réussi","Examen expiré")</f>
        <v>Réussi</v>
      </c>
      <c r="AB150" s="126">
        <f t="shared" si="67"/>
        <v>46304</v>
      </c>
      <c r="AC150" s="46"/>
      <c r="AD150" s="143"/>
    </row>
    <row r="151" spans="1:30" s="153" customFormat="1" ht="16" x14ac:dyDescent="0.4">
      <c r="A151" s="18"/>
      <c r="B151" s="158"/>
      <c r="C151" s="149"/>
      <c r="D151" s="154"/>
      <c r="E151" s="151"/>
      <c r="F151" s="46" t="str">
        <f ca="1">IF(Tableau3[[#This Row],[Date d''expiration ]]&gt;TODAY()+31,"✅",IF(Tableau3[[#This Row],[Date d''expiration ]]&gt; TODAY()+1, "⚠️","⛔️"))</f>
        <v>⛔️</v>
      </c>
      <c r="G151" s="150">
        <v>45972</v>
      </c>
      <c r="H151" s="99" t="str">
        <f ca="1">IF(Tableau3[[#This Row],[Validité ]]&gt;TODAY(),"Néant","Cas à justifier")</f>
        <v>Néant</v>
      </c>
      <c r="I151" s="150"/>
      <c r="J151" s="75">
        <f t="shared" ca="1" si="60"/>
        <v>126.68514206872763</v>
      </c>
      <c r="K151" s="75">
        <f>YEARFRAC(I151,RG_DRH_S1_008!$E$4,1)</f>
        <v>126.00273788053281</v>
      </c>
      <c r="L151" s="75">
        <f>YEARFRAC(I151,RG_DRH_S1_008!$E$5,1)</f>
        <v>127.00273789505454</v>
      </c>
      <c r="M151" s="139" t="s">
        <v>237</v>
      </c>
      <c r="N151" s="152"/>
      <c r="O151" s="152"/>
      <c r="P151" s="151">
        <v>45786</v>
      </c>
      <c r="Q151" s="147" t="s">
        <v>47</v>
      </c>
      <c r="R151" s="131">
        <f t="shared" si="63"/>
        <v>125.35659807479195</v>
      </c>
      <c r="S151" s="136" t="str">
        <f>IF(L151&lt;40,"4",IF(L151&lt;50,"3",IF(L151&lt;55,IF(Tableau3[[#This Row],[Fonction]]="Conducteur de ligne","2","3"),"1")))</f>
        <v>1</v>
      </c>
      <c r="T151" s="136">
        <f t="shared" si="64"/>
        <v>46151</v>
      </c>
      <c r="U151" s="151">
        <v>45786</v>
      </c>
      <c r="V151" s="147" t="s">
        <v>48</v>
      </c>
      <c r="W151" s="138">
        <f t="shared" si="65"/>
        <v>125.35659807479195</v>
      </c>
      <c r="X151" s="136" t="str">
        <f>IF(L151&lt;40,"4",IF(L151&lt;55,"3",IF(Tableau3[[#This Row],[Fonction]]="conducteur de ligne","1","2")))</f>
        <v>2</v>
      </c>
      <c r="Y151" s="136">
        <f t="shared" si="66"/>
        <v>46516</v>
      </c>
      <c r="Z151" s="151">
        <v>45972</v>
      </c>
      <c r="AA151" s="96" t="str">
        <f ca="1">IF(Tableau3[[#This Row],[Date prochaine évaluation]]&gt; TODAY(),"Réussi","Examen expiré")</f>
        <v>Réussi</v>
      </c>
      <c r="AB151" s="126">
        <f t="shared" si="67"/>
        <v>46337</v>
      </c>
      <c r="AC151" s="150" t="e">
        <f t="shared" ref="AC151:AC154" ca="1" si="68">EDATE(AA151, 12)</f>
        <v>#VALUE!</v>
      </c>
      <c r="AD151" s="152"/>
    </row>
    <row r="152" spans="1:30" s="153" customFormat="1" ht="16" x14ac:dyDescent="0.4">
      <c r="A152" s="18"/>
      <c r="B152" s="158"/>
      <c r="C152" s="149"/>
      <c r="D152" s="154"/>
      <c r="E152" s="151"/>
      <c r="F152" s="46" t="str">
        <f ca="1">IF(Tableau3[[#This Row],[Date d''expiration ]]&gt;TODAY()+31,"✅",IF(Tableau3[[#This Row],[Date d''expiration ]]&gt; TODAY()+1, "⚠️","⛔️"))</f>
        <v>⛔️</v>
      </c>
      <c r="G152" s="150">
        <v>45978</v>
      </c>
      <c r="H152" s="99" t="str">
        <f ca="1">IF(Tableau3[[#This Row],[Validité ]]&gt;TODAY(),"Néant","Cas à justifier")</f>
        <v>Néant</v>
      </c>
      <c r="I152" s="150"/>
      <c r="J152" s="75">
        <f t="shared" ca="1" si="60"/>
        <v>126.68514206872763</v>
      </c>
      <c r="K152" s="75">
        <f>YEARFRAC(I152,RG_DRH_S1_008!$E$4,1)</f>
        <v>126.00273788053281</v>
      </c>
      <c r="L152" s="75">
        <f>YEARFRAC(I152,RG_DRH_S1_008!$E$5,1)</f>
        <v>127.00273789505454</v>
      </c>
      <c r="M152" s="139" t="s">
        <v>237</v>
      </c>
      <c r="N152" s="152"/>
      <c r="O152" s="152"/>
      <c r="P152" s="151">
        <v>45744</v>
      </c>
      <c r="Q152" s="147" t="s">
        <v>47</v>
      </c>
      <c r="R152" s="131">
        <f t="shared" si="63"/>
        <v>125.24160709241433</v>
      </c>
      <c r="S152" s="136" t="str">
        <f>IF(L152&lt;40,"4",IF(L152&lt;50,"3",IF(L152&lt;55,IF(Tableau3[[#This Row],[Fonction]]="Conducteur de ligne","2","3"),"1")))</f>
        <v>1</v>
      </c>
      <c r="T152" s="136">
        <f t="shared" si="64"/>
        <v>46109</v>
      </c>
      <c r="U152" s="151">
        <v>45764</v>
      </c>
      <c r="V152" s="147" t="s">
        <v>48</v>
      </c>
      <c r="W152" s="138">
        <f t="shared" si="65"/>
        <v>125.29636470307034</v>
      </c>
      <c r="X152" s="136" t="str">
        <f>IF(L152&lt;40,"4",IF(L152&lt;55,"3",IF(Tableau3[[#This Row],[Fonction]]="conducteur de ligne","1","2")))</f>
        <v>2</v>
      </c>
      <c r="Y152" s="136">
        <f t="shared" si="66"/>
        <v>46494</v>
      </c>
      <c r="Z152" s="151">
        <v>45978</v>
      </c>
      <c r="AA152" s="96" t="str">
        <f ca="1">IF(Tableau3[[#This Row],[Date prochaine évaluation]]&gt; TODAY(),"Réussi","Examen expiré")</f>
        <v>Réussi</v>
      </c>
      <c r="AB152" s="126">
        <f t="shared" si="67"/>
        <v>46343</v>
      </c>
      <c r="AC152" s="150" t="e">
        <f t="shared" ca="1" si="68"/>
        <v>#VALUE!</v>
      </c>
      <c r="AD152" s="152"/>
    </row>
    <row r="153" spans="1:30" s="153" customFormat="1" ht="16" x14ac:dyDescent="0.4">
      <c r="A153" s="18"/>
      <c r="B153" s="158"/>
      <c r="C153" s="149"/>
      <c r="D153" s="154"/>
      <c r="E153" s="151"/>
      <c r="F153" s="46" t="str">
        <f ca="1">IF(Tableau3[[#This Row],[Date d''expiration ]]&gt;TODAY()+31,"✅",IF(Tableau3[[#This Row],[Date d''expiration ]]&gt; TODAY()+1, "⚠️","⛔️"))</f>
        <v>⛔️</v>
      </c>
      <c r="G153" s="150">
        <v>45978</v>
      </c>
      <c r="H153" s="99" t="str">
        <f ca="1">IF(Tableau3[[#This Row],[Validité ]]&gt;TODAY(),"Néant","Cas à justifier")</f>
        <v>Néant</v>
      </c>
      <c r="I153" s="150"/>
      <c r="J153" s="75">
        <f t="shared" ca="1" si="60"/>
        <v>126.68514206872763</v>
      </c>
      <c r="K153" s="75">
        <f>YEARFRAC(I153,RG_DRH_S1_008!$E$4,1)</f>
        <v>126.00273788053281</v>
      </c>
      <c r="L153" s="75">
        <f>YEARFRAC(I153,RG_DRH_S1_008!$E$5,1)</f>
        <v>127.00273789505454</v>
      </c>
      <c r="M153" s="139" t="s">
        <v>237</v>
      </c>
      <c r="N153" s="152"/>
      <c r="O153" s="152"/>
      <c r="P153" s="151">
        <v>45744</v>
      </c>
      <c r="Q153" s="147" t="s">
        <v>47</v>
      </c>
      <c r="R153" s="131">
        <f t="shared" si="63"/>
        <v>125.24160709241433</v>
      </c>
      <c r="S153" s="136" t="str">
        <f>IF(L153&lt;40,"4",IF(L153&lt;50,"3",IF(L153&lt;55,IF(Tableau3[[#This Row],[Fonction]]="Conducteur de ligne","2","3"),"1")))</f>
        <v>1</v>
      </c>
      <c r="T153" s="136">
        <f t="shared" si="64"/>
        <v>46109</v>
      </c>
      <c r="U153" s="151">
        <v>45768</v>
      </c>
      <c r="V153" s="147" t="s">
        <v>48</v>
      </c>
      <c r="W153" s="138">
        <f t="shared" si="65"/>
        <v>125.30731622520153</v>
      </c>
      <c r="X153" s="136" t="str">
        <f>IF(L153&lt;40,"4",IF(L153&lt;55,"3",IF(Tableau3[[#This Row],[Fonction]]="conducteur de ligne","1","2")))</f>
        <v>2</v>
      </c>
      <c r="Y153" s="136">
        <f t="shared" si="66"/>
        <v>46498</v>
      </c>
      <c r="Z153" s="151">
        <v>45978</v>
      </c>
      <c r="AA153" s="96" t="str">
        <f ca="1">IF(Tableau3[[#This Row],[Date prochaine évaluation]]&gt; TODAY(),"Réussi","Examen expiré")</f>
        <v>Réussi</v>
      </c>
      <c r="AB153" s="126">
        <f t="shared" si="67"/>
        <v>46343</v>
      </c>
      <c r="AC153" s="150" t="e">
        <f t="shared" ca="1" si="68"/>
        <v>#VALUE!</v>
      </c>
      <c r="AD153" s="152"/>
    </row>
    <row r="154" spans="1:30" s="160" customFormat="1" ht="16" x14ac:dyDescent="0.4">
      <c r="A154" s="18"/>
      <c r="B154" s="159"/>
      <c r="C154" s="135"/>
      <c r="D154" s="154"/>
      <c r="E154" s="140"/>
      <c r="F154" s="46" t="str">
        <f ca="1">IF(Tableau3[[#This Row],[Date d''expiration ]]&gt;TODAY()+31,"✅",IF(Tableau3[[#This Row],[Date d''expiration ]]&gt; TODAY()+1, "⚠️","⛔️"))</f>
        <v>⛔️</v>
      </c>
      <c r="G154" s="155">
        <v>45978</v>
      </c>
      <c r="H154" s="99" t="str">
        <f ca="1">IF(Tableau3[[#This Row],[Validité ]]&gt;TODAY(),"Néant","Cas à justifier")</f>
        <v>Néant</v>
      </c>
      <c r="I154" s="155"/>
      <c r="J154" s="75">
        <f t="shared" ca="1" si="60"/>
        <v>126.68514206872763</v>
      </c>
      <c r="K154" s="75">
        <f>YEARFRAC(I154,RG_DRH_S1_008!$E$4,1)</f>
        <v>126.00273788053281</v>
      </c>
      <c r="L154" s="75">
        <f>YEARFRAC(I154,RG_DRH_S1_008!$E$5,1)</f>
        <v>127.00273789505454</v>
      </c>
      <c r="M154" s="139" t="s">
        <v>237</v>
      </c>
      <c r="N154" s="137"/>
      <c r="O154" s="137"/>
      <c r="P154" s="140">
        <v>45744</v>
      </c>
      <c r="Q154" s="147" t="s">
        <v>47</v>
      </c>
      <c r="R154" s="131">
        <f t="shared" si="63"/>
        <v>125.24160709241433</v>
      </c>
      <c r="S154" s="136" t="str">
        <f>IF(L154&lt;40,"4",IF(L154&lt;50,"3",IF(L154&lt;55,IF(Tableau3[[#This Row],[Fonction]]="Conducteur de ligne","2","3"),"1")))</f>
        <v>1</v>
      </c>
      <c r="T154" s="136">
        <f t="shared" si="64"/>
        <v>46109</v>
      </c>
      <c r="U154" s="140">
        <v>45763</v>
      </c>
      <c r="V154" s="147" t="s">
        <v>48</v>
      </c>
      <c r="W154" s="138">
        <f t="shared" si="65"/>
        <v>125.29362682253753</v>
      </c>
      <c r="X154" s="136" t="str">
        <f>IF(L154&lt;40,"4",IF(L154&lt;55,"3",IF(Tableau3[[#This Row],[Fonction]]="conducteur de ligne","1","2")))</f>
        <v>2</v>
      </c>
      <c r="Y154" s="136">
        <f t="shared" si="66"/>
        <v>46493</v>
      </c>
      <c r="Z154" s="140">
        <v>45978</v>
      </c>
      <c r="AA154" s="96" t="str">
        <f ca="1">IF(Tableau3[[#This Row],[Date prochaine évaluation]]&gt; TODAY(),"Réussi","Examen expiré")</f>
        <v>Réussi</v>
      </c>
      <c r="AB154" s="126">
        <f t="shared" si="67"/>
        <v>46343</v>
      </c>
      <c r="AC154" s="155" t="e">
        <f t="shared" ca="1" si="68"/>
        <v>#VALUE!</v>
      </c>
      <c r="AD154" s="137"/>
    </row>
    <row r="155" spans="1:30" s="160" customFormat="1" ht="16" x14ac:dyDescent="0.4">
      <c r="A155" s="18"/>
      <c r="B155" s="159"/>
      <c r="C155" s="135"/>
      <c r="D155" s="161"/>
      <c r="E155" s="140"/>
      <c r="F155" s="46" t="str">
        <f ca="1">IF(Tableau3[[#This Row],[Date d''expiration ]]&gt;TODAY()+31,"✅",IF(Tableau3[[#This Row],[Date d''expiration ]]&gt; TODAY()+1, "⚠️","⛔️"))</f>
        <v>⛔️</v>
      </c>
      <c r="G155" s="155">
        <v>45987</v>
      </c>
      <c r="H155" s="99" t="str">
        <f ca="1">IF(Tableau3[[#This Row],[Validité ]]&gt;TODAY(),"Néant","Cas à justifier")</f>
        <v>Néant</v>
      </c>
      <c r="I155" s="155"/>
      <c r="J155" s="75">
        <f t="shared" ca="1" si="60"/>
        <v>126.68514206872763</v>
      </c>
      <c r="K155" s="75">
        <f>YEARFRAC(I155,RG_DRH_S1_008!$E$4,1)</f>
        <v>126.00273788053281</v>
      </c>
      <c r="L155" s="75">
        <f>YEARFRAC(I155,RG_DRH_S1_008!$E$5,1)</f>
        <v>127.00273789505454</v>
      </c>
      <c r="M155" s="139" t="s">
        <v>237</v>
      </c>
      <c r="N155" s="137"/>
      <c r="O155" s="137"/>
      <c r="P155" s="135"/>
      <c r="Q155" s="147" t="s">
        <v>47</v>
      </c>
      <c r="R155" s="131"/>
      <c r="S155" s="137"/>
      <c r="T155" s="137"/>
      <c r="U155" s="135"/>
      <c r="V155" s="135"/>
      <c r="W155" s="157"/>
      <c r="X155" s="137"/>
      <c r="Y155" s="137"/>
      <c r="Z155" s="140">
        <v>45987</v>
      </c>
      <c r="AA155" s="96" t="str">
        <f ca="1">IF(Tableau3[[#This Row],[Date prochaine évaluation]]&gt; TODAY(),"Réussi","Examen expiré")</f>
        <v>Réussi</v>
      </c>
      <c r="AB155" s="126">
        <f t="shared" si="67"/>
        <v>46352</v>
      </c>
      <c r="AC155" s="155" t="e">
        <f ca="1">EDATE(AA155, 12)</f>
        <v>#VALUE!</v>
      </c>
      <c r="AD155" s="137"/>
    </row>
    <row r="156" spans="1:30" s="160" customFormat="1" ht="16" hidden="1" x14ac:dyDescent="0.35">
      <c r="A156" s="18"/>
      <c r="B156" s="162"/>
      <c r="C156" s="162"/>
      <c r="D156" s="162"/>
      <c r="E156" s="140"/>
      <c r="F156" s="46"/>
      <c r="G156" s="155"/>
      <c r="H156" s="40"/>
      <c r="I156" s="155"/>
      <c r="J156" s="75"/>
      <c r="K156" s="75"/>
      <c r="L156" s="75"/>
      <c r="M156" s="139"/>
      <c r="N156" s="137"/>
      <c r="O156" s="137"/>
      <c r="P156" s="140"/>
      <c r="Q156" s="147"/>
      <c r="R156" s="157"/>
      <c r="S156" s="137"/>
      <c r="T156" s="137"/>
      <c r="U156" s="140"/>
      <c r="V156" s="135"/>
      <c r="W156" s="157"/>
      <c r="X156" s="137"/>
      <c r="Y156" s="137"/>
      <c r="Z156" s="135"/>
      <c r="AA156" s="96"/>
      <c r="AB156" s="126"/>
      <c r="AC156" s="155"/>
      <c r="AD156" s="137"/>
    </row>
    <row r="157" spans="1:30" s="153" customFormat="1" ht="16" x14ac:dyDescent="0.35">
      <c r="A157" s="18"/>
      <c r="B157" s="149"/>
      <c r="C157" s="149"/>
      <c r="D157" s="149"/>
      <c r="E157" s="151"/>
      <c r="F157" s="46" t="str">
        <f ca="1">IF(Tableau3[[#This Row],[Date d''expiration ]]&gt;TODAY()+31,"✅",IF(Tableau3[[#This Row],[Date d''expiration ]]&gt; TODAY()+1, "⚠️","⛔️"))</f>
        <v>⛔️</v>
      </c>
      <c r="G157" s="150">
        <v>45986</v>
      </c>
      <c r="H157" s="99" t="str">
        <f ca="1">IF(Tableau3[[#This Row],[Validité ]]&gt;TODAY(),"Néant","Cas à justifier")</f>
        <v>Néant</v>
      </c>
      <c r="I157" s="150"/>
      <c r="J157" s="75">
        <f t="shared" ca="1" si="60"/>
        <v>126.68514206872763</v>
      </c>
      <c r="K157" s="75">
        <f>YEARFRAC(I157,RG_DRH_S1_008!$E$4,1)</f>
        <v>126.00273788053281</v>
      </c>
      <c r="L157" s="75">
        <f>YEARFRAC(I157,RG_DRH_S1_008!$E$5,1)</f>
        <v>127.00273789505454</v>
      </c>
      <c r="M157" s="139" t="s">
        <v>237</v>
      </c>
      <c r="N157" s="152"/>
      <c r="O157" s="152"/>
      <c r="P157" s="149"/>
      <c r="Q157" s="147" t="s">
        <v>47</v>
      </c>
      <c r="R157" s="156"/>
      <c r="S157" s="152"/>
      <c r="T157" s="152"/>
      <c r="U157" s="149"/>
      <c r="V157" s="149"/>
      <c r="W157" s="156"/>
      <c r="X157" s="152"/>
      <c r="Y157" s="152"/>
      <c r="Z157" s="151">
        <v>45986</v>
      </c>
      <c r="AA157" s="96" t="str">
        <f ca="1">IF(Tableau3[[#This Row],[Date prochaine évaluation]]&gt; TODAY(),"Réussi","Examen expiré")</f>
        <v>Réussi</v>
      </c>
      <c r="AB157" s="126">
        <f t="shared" si="67"/>
        <v>46351</v>
      </c>
      <c r="AC157" s="150" t="e">
        <f ca="1">EDATE(AA157, 12)</f>
        <v>#VALUE!</v>
      </c>
      <c r="AD157" s="152"/>
    </row>
    <row r="158" spans="1:30" ht="16" x14ac:dyDescent="0.35">
      <c r="B158" s="43"/>
      <c r="C158" s="43"/>
      <c r="D158" s="43"/>
      <c r="E158" s="99"/>
      <c r="F158" s="46" t="str">
        <f ca="1">IF(Tableau3[[#This Row],[Date d''expiration ]]&gt;TODAY()+31,"✅",IF(Tableau3[[#This Row],[Date d''expiration ]]&gt; TODAY()+1, "⚠️","⛔️"))</f>
        <v>⛔️</v>
      </c>
      <c r="G158" s="46"/>
      <c r="H158" s="99" t="str">
        <f ca="1">IF(Tableau3[[#This Row],[Validité ]]&gt;TODAY(),"Néant","Cas à justifier")</f>
        <v>Néant</v>
      </c>
      <c r="I158" s="143"/>
      <c r="J158" s="141"/>
      <c r="K158" s="141"/>
      <c r="L158" s="141"/>
      <c r="M158" s="139" t="s">
        <v>237</v>
      </c>
      <c r="N158" s="143"/>
      <c r="O158" s="143"/>
      <c r="P158" s="43"/>
      <c r="Q158" s="43"/>
      <c r="R158" s="141"/>
      <c r="S158" s="143"/>
      <c r="T158" s="143"/>
      <c r="U158" s="43"/>
      <c r="V158" s="43"/>
      <c r="W158" s="141"/>
      <c r="X158" s="143"/>
      <c r="Y158" s="143"/>
      <c r="Z158" s="43"/>
      <c r="AA158" s="143"/>
      <c r="AB158" s="143"/>
      <c r="AC158" s="46">
        <f>EDATE(AA158, 12)</f>
        <v>366</v>
      </c>
      <c r="AD158" s="143"/>
    </row>
    <row r="159" spans="1:30" ht="16" x14ac:dyDescent="0.35">
      <c r="B159" s="43"/>
      <c r="C159" s="43"/>
      <c r="D159" s="149"/>
      <c r="E159" s="99"/>
      <c r="F159" s="46" t="str">
        <f ca="1">IF(Tableau3[[#This Row],[Date d''expiration ]]&gt;TODAY()+31,"✅",IF(Tableau3[[#This Row],[Date d''expiration ]]&gt; TODAY()+1, "⚠️","⛔️"))</f>
        <v>⛔️</v>
      </c>
      <c r="G159" s="46"/>
      <c r="H159" s="99" t="str">
        <f ca="1">IF(Tableau3[[#This Row],[Validité ]]&gt;TODAY(),"Néant","Cas à justifier")</f>
        <v>Néant</v>
      </c>
      <c r="I159" s="143"/>
      <c r="J159" s="141"/>
      <c r="K159" s="141"/>
      <c r="L159" s="141"/>
      <c r="M159" s="139" t="s">
        <v>237</v>
      </c>
      <c r="N159" s="143"/>
      <c r="O159" s="143"/>
      <c r="P159" s="43"/>
      <c r="Q159" s="43"/>
      <c r="R159" s="141"/>
      <c r="S159" s="143"/>
      <c r="T159" s="143"/>
      <c r="U159" s="43"/>
      <c r="V159" s="43"/>
      <c r="W159" s="141"/>
      <c r="X159" s="143"/>
      <c r="Y159" s="143"/>
      <c r="Z159" s="43"/>
      <c r="AA159" s="143"/>
      <c r="AB159" s="143"/>
      <c r="AC159" s="46">
        <f>EDATE(AA159, 12)</f>
        <v>366</v>
      </c>
      <c r="AD159" s="143"/>
    </row>
    <row r="160" spans="1:30" ht="16" x14ac:dyDescent="0.35">
      <c r="B160" s="43"/>
      <c r="C160" s="43"/>
      <c r="D160" s="149"/>
      <c r="E160" s="99"/>
      <c r="F160" s="46" t="str">
        <f ca="1">IF(Tableau3[[#This Row],[Date d''expiration ]]&gt;TODAY()+31,"✅",IF(Tableau3[[#This Row],[Date d''expiration ]]&gt; TODAY()+1, "⚠️","⛔️"))</f>
        <v>⛔️</v>
      </c>
      <c r="G160" s="46"/>
      <c r="H160" s="99" t="str">
        <f ca="1">IF(Tableau3[[#This Row],[Validité ]]&gt;TODAY(),"Néant","Cas à justifier")</f>
        <v>Néant</v>
      </c>
      <c r="I160" s="143"/>
      <c r="J160" s="141"/>
      <c r="K160" s="141"/>
      <c r="L160" s="141"/>
      <c r="M160" s="137" t="s">
        <v>237</v>
      </c>
      <c r="N160" s="143"/>
      <c r="O160" s="143"/>
      <c r="P160" s="43"/>
      <c r="Q160" s="43"/>
      <c r="R160" s="141"/>
      <c r="S160" s="143"/>
      <c r="T160" s="143"/>
      <c r="U160" s="43"/>
      <c r="V160" s="43"/>
      <c r="W160" s="141"/>
      <c r="X160" s="143"/>
      <c r="Y160" s="143"/>
      <c r="Z160" s="43"/>
      <c r="AA160" s="143"/>
      <c r="AB160" s="143"/>
      <c r="AC160" s="46">
        <f>EDATE(AA160, 12)</f>
        <v>366</v>
      </c>
      <c r="AD160" s="143"/>
    </row>
    <row r="161" spans="2:26" x14ac:dyDescent="0.35">
      <c r="B161" s="44"/>
      <c r="C161" s="44"/>
      <c r="D161" s="44"/>
      <c r="E161" s="44"/>
      <c r="H161" s="47"/>
      <c r="P161" s="44"/>
      <c r="Q161" s="44"/>
      <c r="U161" s="44"/>
      <c r="V161" s="44"/>
      <c r="Z161" s="44"/>
    </row>
    <row r="162" spans="2:26" x14ac:dyDescent="0.35">
      <c r="B162" s="44"/>
      <c r="C162" s="44"/>
      <c r="D162" s="44"/>
      <c r="E162" s="44"/>
      <c r="H162" s="47"/>
      <c r="P162" s="44"/>
      <c r="Q162" s="44"/>
      <c r="U162" s="44"/>
      <c r="V162" s="44"/>
      <c r="Z162" s="44"/>
    </row>
    <row r="163" spans="2:26" x14ac:dyDescent="0.35">
      <c r="B163" s="44"/>
      <c r="C163" s="44"/>
      <c r="D163" s="44"/>
      <c r="E163" s="44"/>
      <c r="H163" s="47"/>
      <c r="P163" s="44"/>
      <c r="Q163" s="44"/>
      <c r="U163" s="44"/>
      <c r="V163" s="44"/>
      <c r="Z163" s="44"/>
    </row>
    <row r="164" spans="2:26" x14ac:dyDescent="0.35">
      <c r="B164" s="44"/>
      <c r="C164" s="44"/>
      <c r="D164" s="44"/>
      <c r="E164" s="44"/>
      <c r="H164" s="47"/>
      <c r="P164" s="44"/>
      <c r="Q164" s="44"/>
      <c r="U164" s="44"/>
      <c r="V164" s="44"/>
      <c r="Z164" s="44"/>
    </row>
    <row r="165" spans="2:26" x14ac:dyDescent="0.35">
      <c r="B165" s="44"/>
      <c r="C165" s="44"/>
      <c r="D165" s="44"/>
      <c r="E165" s="44"/>
      <c r="H165" s="47"/>
      <c r="P165" s="44"/>
      <c r="Q165" s="44"/>
      <c r="U165" s="44"/>
      <c r="V165" s="44"/>
      <c r="Z165" s="44"/>
    </row>
    <row r="166" spans="2:26" x14ac:dyDescent="0.35">
      <c r="B166" s="44"/>
      <c r="C166" s="44"/>
      <c r="D166" s="44"/>
      <c r="E166" s="44"/>
      <c r="H166" s="47"/>
      <c r="P166" s="44"/>
      <c r="Q166" s="44"/>
      <c r="U166" s="44"/>
      <c r="V166" s="44"/>
      <c r="Z166" s="44"/>
    </row>
    <row r="167" spans="2:26" x14ac:dyDescent="0.35">
      <c r="B167" s="44"/>
      <c r="C167" s="44"/>
      <c r="D167" s="44"/>
      <c r="E167" s="44"/>
      <c r="H167" s="47"/>
      <c r="P167" s="44"/>
      <c r="Q167" s="44"/>
      <c r="U167" s="44"/>
      <c r="V167" s="44"/>
      <c r="Z167" s="44"/>
    </row>
    <row r="168" spans="2:26" x14ac:dyDescent="0.35">
      <c r="B168" s="44"/>
      <c r="C168" s="44"/>
      <c r="D168" s="44"/>
      <c r="E168" s="44"/>
      <c r="H168" s="47"/>
      <c r="P168" s="44"/>
      <c r="Q168" s="44"/>
      <c r="U168" s="44"/>
      <c r="V168" s="44"/>
      <c r="Z168" s="44"/>
    </row>
    <row r="169" spans="2:26" x14ac:dyDescent="0.35">
      <c r="B169" s="44"/>
      <c r="C169" s="44"/>
      <c r="D169" s="44"/>
      <c r="E169" s="44"/>
      <c r="H169" s="47"/>
      <c r="P169" s="44"/>
      <c r="Q169" s="44"/>
      <c r="U169" s="44"/>
      <c r="V169" s="44"/>
      <c r="Z169" s="44"/>
    </row>
    <row r="170" spans="2:26" x14ac:dyDescent="0.35">
      <c r="B170" s="44"/>
      <c r="C170" s="44"/>
      <c r="D170" s="44"/>
      <c r="E170" s="44"/>
      <c r="H170" s="47"/>
      <c r="P170" s="44"/>
      <c r="Q170" s="44"/>
      <c r="U170" s="44"/>
      <c r="V170" s="44"/>
      <c r="Z170" s="44"/>
    </row>
    <row r="171" spans="2:26" x14ac:dyDescent="0.35">
      <c r="B171" s="44"/>
      <c r="C171" s="44"/>
      <c r="D171" s="44"/>
      <c r="E171" s="44"/>
      <c r="H171" s="47"/>
      <c r="P171" s="44"/>
      <c r="Q171" s="44"/>
      <c r="U171" s="44"/>
      <c r="V171" s="44"/>
      <c r="Z171" s="44"/>
    </row>
    <row r="172" spans="2:26" x14ac:dyDescent="0.35">
      <c r="B172" s="44"/>
      <c r="C172" s="44"/>
      <c r="D172" s="44"/>
      <c r="E172" s="44"/>
      <c r="H172" s="47"/>
      <c r="P172" s="44"/>
      <c r="Q172" s="44"/>
      <c r="U172" s="44"/>
      <c r="V172" s="44"/>
      <c r="Z172" s="44"/>
    </row>
    <row r="173" spans="2:26" x14ac:dyDescent="0.35">
      <c r="B173" s="44"/>
      <c r="C173" s="44"/>
      <c r="D173" s="44"/>
      <c r="E173" s="44"/>
      <c r="H173" s="47"/>
      <c r="P173" s="44"/>
      <c r="Q173" s="44"/>
      <c r="U173" s="44"/>
      <c r="V173" s="44"/>
      <c r="Z173" s="44"/>
    </row>
    <row r="174" spans="2:26" x14ac:dyDescent="0.35">
      <c r="B174" s="44"/>
      <c r="C174" s="44"/>
      <c r="D174" s="44"/>
      <c r="E174" s="44"/>
      <c r="H174" s="47"/>
      <c r="P174" s="44"/>
      <c r="Q174" s="44"/>
      <c r="U174" s="44"/>
      <c r="V174" s="44"/>
      <c r="Z174" s="44"/>
    </row>
    <row r="175" spans="2:26" x14ac:dyDescent="0.35">
      <c r="B175" s="44"/>
      <c r="C175" s="44"/>
      <c r="D175" s="44"/>
      <c r="E175" s="44"/>
      <c r="H175" s="47"/>
      <c r="P175" s="44"/>
      <c r="Q175" s="44"/>
      <c r="U175" s="44"/>
      <c r="V175" s="44"/>
      <c r="Z175" s="44"/>
    </row>
    <row r="176" spans="2:26" x14ac:dyDescent="0.35">
      <c r="B176" s="44"/>
      <c r="C176" s="44"/>
      <c r="D176" s="44"/>
      <c r="E176" s="44"/>
      <c r="H176" s="47"/>
      <c r="P176" s="44"/>
      <c r="Q176" s="44"/>
      <c r="U176" s="44"/>
      <c r="V176" s="44"/>
      <c r="Z176" s="44"/>
    </row>
    <row r="177" spans="2:26" x14ac:dyDescent="0.35">
      <c r="B177" s="44"/>
      <c r="C177" s="44"/>
      <c r="D177" s="44"/>
      <c r="E177" s="44"/>
      <c r="H177" s="47"/>
      <c r="P177" s="44"/>
      <c r="Q177" s="44"/>
      <c r="U177" s="44"/>
      <c r="V177" s="44"/>
      <c r="Z177" s="44"/>
    </row>
    <row r="178" spans="2:26" x14ac:dyDescent="0.35">
      <c r="B178" s="44"/>
      <c r="C178" s="44"/>
      <c r="D178" s="44"/>
      <c r="E178" s="44"/>
      <c r="H178" s="47"/>
      <c r="P178" s="44"/>
      <c r="Q178" s="44"/>
      <c r="U178" s="44"/>
      <c r="V178" s="44"/>
      <c r="Z178" s="44"/>
    </row>
    <row r="179" spans="2:26" x14ac:dyDescent="0.35">
      <c r="B179" s="44"/>
      <c r="C179" s="44"/>
      <c r="D179" s="44"/>
      <c r="E179" s="44"/>
      <c r="H179" s="47"/>
      <c r="P179" s="44"/>
      <c r="Q179" s="44"/>
      <c r="U179" s="44"/>
      <c r="V179" s="44"/>
      <c r="Z179" s="44"/>
    </row>
    <row r="180" spans="2:26" x14ac:dyDescent="0.35">
      <c r="B180" s="44"/>
      <c r="C180" s="44"/>
      <c r="D180" s="44"/>
      <c r="E180" s="44"/>
      <c r="H180" s="47"/>
      <c r="P180" s="44"/>
      <c r="Q180" s="44"/>
      <c r="U180" s="44"/>
      <c r="V180" s="44"/>
      <c r="Z180" s="44"/>
    </row>
    <row r="181" spans="2:26" x14ac:dyDescent="0.35">
      <c r="B181" s="44"/>
      <c r="C181" s="44"/>
      <c r="D181" s="44"/>
      <c r="E181" s="44"/>
      <c r="H181" s="47"/>
      <c r="P181" s="44"/>
      <c r="Q181" s="44"/>
      <c r="U181" s="44"/>
      <c r="V181" s="44"/>
      <c r="Z181" s="44"/>
    </row>
    <row r="182" spans="2:26" x14ac:dyDescent="0.35">
      <c r="B182" s="44"/>
      <c r="C182" s="44"/>
      <c r="D182" s="44"/>
      <c r="E182" s="44"/>
      <c r="H182" s="47"/>
      <c r="P182" s="44"/>
      <c r="Q182" s="44"/>
      <c r="U182" s="44"/>
      <c r="V182" s="44"/>
      <c r="Z182" s="44"/>
    </row>
    <row r="183" spans="2:26" x14ac:dyDescent="0.35">
      <c r="B183" s="44"/>
      <c r="C183" s="44"/>
      <c r="D183" s="44"/>
      <c r="E183" s="44"/>
      <c r="H183" s="47"/>
      <c r="P183" s="44"/>
      <c r="Q183" s="44"/>
      <c r="U183" s="44"/>
      <c r="V183" s="44"/>
      <c r="Z183" s="44"/>
    </row>
    <row r="184" spans="2:26" x14ac:dyDescent="0.35">
      <c r="B184" s="44"/>
      <c r="C184" s="44"/>
      <c r="D184" s="44"/>
      <c r="E184" s="44"/>
      <c r="H184" s="47"/>
      <c r="P184" s="44"/>
      <c r="Q184" s="44"/>
      <c r="U184" s="44"/>
      <c r="V184" s="44"/>
      <c r="Z184" s="44"/>
    </row>
    <row r="185" spans="2:26" x14ac:dyDescent="0.35">
      <c r="B185" s="44"/>
      <c r="C185" s="44"/>
      <c r="D185" s="44"/>
      <c r="E185" s="44"/>
      <c r="H185" s="47"/>
      <c r="P185" s="44"/>
      <c r="Q185" s="44"/>
      <c r="U185" s="44"/>
      <c r="V185" s="44"/>
      <c r="Z185" s="44"/>
    </row>
    <row r="186" spans="2:26" x14ac:dyDescent="0.35">
      <c r="B186" s="44"/>
      <c r="C186" s="44"/>
      <c r="D186" s="44"/>
      <c r="E186" s="44"/>
      <c r="H186" s="47"/>
      <c r="P186" s="44"/>
      <c r="Q186" s="44"/>
      <c r="U186" s="44"/>
      <c r="V186" s="44"/>
      <c r="Z186" s="44"/>
    </row>
    <row r="187" spans="2:26" x14ac:dyDescent="0.35">
      <c r="B187" s="44"/>
      <c r="C187" s="44"/>
      <c r="D187" s="44"/>
      <c r="E187" s="44"/>
      <c r="H187" s="47"/>
      <c r="P187" s="44"/>
      <c r="Q187" s="44"/>
      <c r="U187" s="44"/>
      <c r="V187" s="44"/>
      <c r="Z187" s="44"/>
    </row>
    <row r="188" spans="2:26" x14ac:dyDescent="0.35">
      <c r="B188" s="44"/>
      <c r="C188" s="44"/>
      <c r="D188" s="44"/>
      <c r="E188" s="44"/>
      <c r="H188" s="47"/>
      <c r="P188" s="44"/>
      <c r="Q188" s="44"/>
      <c r="U188" s="44"/>
      <c r="V188" s="44"/>
      <c r="Z188" s="44"/>
    </row>
    <row r="189" spans="2:26" x14ac:dyDescent="0.35">
      <c r="B189" s="44"/>
      <c r="C189" s="44"/>
      <c r="D189" s="44"/>
      <c r="E189" s="44"/>
      <c r="H189" s="47"/>
      <c r="P189" s="44"/>
      <c r="Q189" s="44"/>
      <c r="U189" s="44"/>
      <c r="V189" s="44"/>
      <c r="Z189" s="44"/>
    </row>
    <row r="190" spans="2:26" x14ac:dyDescent="0.35">
      <c r="B190" s="44"/>
      <c r="C190" s="44"/>
      <c r="D190" s="44"/>
      <c r="E190" s="44"/>
      <c r="H190" s="47"/>
      <c r="P190" s="44"/>
      <c r="Q190" s="44"/>
      <c r="U190" s="44"/>
      <c r="V190" s="44"/>
      <c r="Z190" s="44"/>
    </row>
    <row r="191" spans="2:26" x14ac:dyDescent="0.35">
      <c r="B191" s="44"/>
      <c r="C191" s="44"/>
      <c r="D191" s="44"/>
      <c r="E191" s="44"/>
      <c r="H191" s="47"/>
      <c r="P191" s="44"/>
      <c r="Q191" s="44"/>
      <c r="U191" s="44"/>
      <c r="V191" s="44"/>
      <c r="Z191" s="44"/>
    </row>
    <row r="192" spans="2:26" x14ac:dyDescent="0.35">
      <c r="B192" s="44"/>
      <c r="C192" s="44"/>
      <c r="D192" s="44"/>
      <c r="E192" s="44"/>
      <c r="H192" s="47"/>
      <c r="P192" s="44"/>
      <c r="Q192" s="44"/>
      <c r="U192" s="44"/>
      <c r="V192" s="44"/>
      <c r="Z192" s="44"/>
    </row>
    <row r="193" spans="2:26" x14ac:dyDescent="0.35">
      <c r="B193" s="44"/>
      <c r="C193" s="44"/>
      <c r="D193" s="44"/>
      <c r="E193" s="44"/>
      <c r="H193" s="47"/>
      <c r="P193" s="44"/>
      <c r="Q193" s="44"/>
      <c r="U193" s="44"/>
      <c r="V193" s="44"/>
      <c r="Z193" s="44"/>
    </row>
    <row r="194" spans="2:26" x14ac:dyDescent="0.35">
      <c r="B194" s="44"/>
      <c r="C194" s="44"/>
      <c r="D194" s="44"/>
      <c r="E194" s="44"/>
      <c r="H194" s="47"/>
      <c r="P194" s="44"/>
      <c r="Q194" s="44"/>
      <c r="U194" s="44"/>
      <c r="V194" s="44"/>
      <c r="Z194" s="44"/>
    </row>
    <row r="195" spans="2:26" x14ac:dyDescent="0.35">
      <c r="B195" s="44"/>
      <c r="C195" s="44"/>
      <c r="D195" s="44"/>
      <c r="E195" s="44"/>
      <c r="H195" s="47"/>
      <c r="P195" s="44"/>
      <c r="Q195" s="44"/>
      <c r="U195" s="44"/>
      <c r="V195" s="44"/>
      <c r="Z195" s="44"/>
    </row>
    <row r="196" spans="2:26" x14ac:dyDescent="0.35">
      <c r="B196" s="44"/>
      <c r="C196" s="44"/>
      <c r="D196" s="44"/>
      <c r="E196" s="44"/>
      <c r="H196" s="47"/>
      <c r="P196" s="44"/>
      <c r="Q196" s="44"/>
      <c r="U196" s="44"/>
      <c r="V196" s="44"/>
      <c r="Z196" s="44"/>
    </row>
    <row r="197" spans="2:26" x14ac:dyDescent="0.35">
      <c r="B197" s="44"/>
      <c r="C197" s="44"/>
      <c r="D197" s="44"/>
      <c r="E197" s="44"/>
      <c r="H197" s="47"/>
      <c r="P197" s="44"/>
      <c r="Q197" s="44"/>
      <c r="U197" s="44"/>
      <c r="V197" s="44"/>
      <c r="Z197" s="44"/>
    </row>
    <row r="198" spans="2:26" x14ac:dyDescent="0.35">
      <c r="B198" s="44"/>
      <c r="C198" s="44"/>
      <c r="D198" s="44"/>
      <c r="E198" s="44"/>
      <c r="H198" s="47"/>
      <c r="P198" s="44"/>
      <c r="Q198" s="44"/>
      <c r="U198" s="44"/>
      <c r="V198" s="44"/>
      <c r="Z198" s="44"/>
    </row>
    <row r="199" spans="2:26" x14ac:dyDescent="0.35">
      <c r="B199" s="44"/>
      <c r="C199" s="44"/>
      <c r="D199" s="44"/>
      <c r="E199" s="44"/>
      <c r="H199" s="47"/>
      <c r="P199" s="44"/>
      <c r="Q199" s="44"/>
      <c r="U199" s="44"/>
      <c r="V199" s="44"/>
      <c r="Z199" s="44"/>
    </row>
    <row r="200" spans="2:26" x14ac:dyDescent="0.35">
      <c r="B200" s="44"/>
      <c r="C200" s="44"/>
      <c r="D200" s="44"/>
      <c r="E200" s="44"/>
      <c r="H200" s="47"/>
      <c r="P200" s="44"/>
      <c r="Q200" s="44"/>
      <c r="U200" s="44"/>
      <c r="V200" s="44"/>
      <c r="Z200" s="44"/>
    </row>
    <row r="201" spans="2:26" x14ac:dyDescent="0.35">
      <c r="B201" s="44"/>
      <c r="C201" s="44"/>
      <c r="D201" s="44"/>
      <c r="E201" s="44"/>
      <c r="H201" s="47"/>
      <c r="P201" s="44"/>
      <c r="Q201" s="44"/>
      <c r="U201" s="44"/>
      <c r="V201" s="44"/>
      <c r="Z201" s="44"/>
    </row>
    <row r="202" spans="2:26" x14ac:dyDescent="0.35">
      <c r="B202" s="44"/>
      <c r="C202" s="44"/>
      <c r="D202" s="44"/>
      <c r="E202" s="44"/>
      <c r="H202" s="47"/>
      <c r="P202" s="44"/>
      <c r="Q202" s="44"/>
      <c r="U202" s="44"/>
      <c r="V202" s="44"/>
      <c r="Z202" s="44"/>
    </row>
    <row r="203" spans="2:26" x14ac:dyDescent="0.35">
      <c r="B203" s="44"/>
      <c r="C203" s="44"/>
      <c r="D203" s="44"/>
      <c r="E203" s="44"/>
      <c r="H203" s="47"/>
      <c r="P203" s="44"/>
      <c r="Q203" s="44"/>
      <c r="U203" s="44"/>
      <c r="V203" s="44"/>
      <c r="Z203" s="44"/>
    </row>
    <row r="204" spans="2:26" x14ac:dyDescent="0.35">
      <c r="B204" s="44"/>
      <c r="C204" s="44"/>
      <c r="D204" s="44"/>
      <c r="E204" s="44"/>
      <c r="H204" s="47"/>
      <c r="P204" s="44"/>
      <c r="Q204" s="44"/>
      <c r="U204" s="44"/>
      <c r="V204" s="44"/>
      <c r="Z204" s="44"/>
    </row>
    <row r="205" spans="2:26" x14ac:dyDescent="0.35">
      <c r="B205" s="44"/>
      <c r="C205" s="44"/>
      <c r="D205" s="44"/>
      <c r="E205" s="44"/>
      <c r="H205" s="47"/>
      <c r="P205" s="44"/>
      <c r="Q205" s="44"/>
      <c r="U205" s="44"/>
      <c r="V205" s="44"/>
      <c r="Z205" s="44"/>
    </row>
    <row r="206" spans="2:26" x14ac:dyDescent="0.35">
      <c r="B206" s="44"/>
      <c r="C206" s="44"/>
      <c r="D206" s="44"/>
      <c r="E206" s="44"/>
      <c r="H206" s="47"/>
      <c r="P206" s="44"/>
      <c r="Q206" s="44"/>
      <c r="U206" s="44"/>
      <c r="V206" s="44"/>
      <c r="Z206" s="44"/>
    </row>
    <row r="207" spans="2:26" x14ac:dyDescent="0.35">
      <c r="B207" s="44"/>
      <c r="C207" s="44"/>
      <c r="D207" s="44"/>
      <c r="E207" s="44"/>
      <c r="H207" s="47"/>
      <c r="P207" s="44"/>
      <c r="Q207" s="44"/>
      <c r="U207" s="44"/>
      <c r="V207" s="44"/>
      <c r="Z207" s="44"/>
    </row>
    <row r="208" spans="2:26" x14ac:dyDescent="0.35">
      <c r="B208" s="44"/>
      <c r="C208" s="44"/>
      <c r="D208" s="44"/>
      <c r="E208" s="44"/>
      <c r="H208" s="47"/>
      <c r="P208" s="44"/>
      <c r="Q208" s="44"/>
      <c r="U208" s="44"/>
      <c r="V208" s="44"/>
      <c r="Z208" s="44"/>
    </row>
    <row r="209" spans="2:26" x14ac:dyDescent="0.35">
      <c r="B209" s="44"/>
      <c r="C209" s="44"/>
      <c r="D209" s="44"/>
      <c r="E209" s="44"/>
      <c r="H209" s="47"/>
      <c r="P209" s="44"/>
      <c r="Q209" s="44"/>
      <c r="U209" s="44"/>
      <c r="V209" s="44"/>
      <c r="Z209" s="44"/>
    </row>
    <row r="210" spans="2:26" x14ac:dyDescent="0.35">
      <c r="B210" s="44"/>
      <c r="C210" s="44"/>
      <c r="D210" s="44"/>
      <c r="E210" s="44"/>
      <c r="H210" s="47"/>
      <c r="P210" s="44"/>
      <c r="Q210" s="44"/>
      <c r="U210" s="44"/>
      <c r="V210" s="44"/>
      <c r="Z210" s="44"/>
    </row>
    <row r="211" spans="2:26" x14ac:dyDescent="0.35">
      <c r="B211" s="44"/>
      <c r="C211" s="44"/>
      <c r="D211" s="44"/>
      <c r="E211" s="44"/>
      <c r="H211" s="47"/>
      <c r="P211" s="44"/>
      <c r="Q211" s="44"/>
      <c r="U211" s="44"/>
      <c r="V211" s="44"/>
      <c r="Z211" s="44"/>
    </row>
    <row r="212" spans="2:26" x14ac:dyDescent="0.35">
      <c r="B212" s="44"/>
      <c r="C212" s="44"/>
      <c r="D212" s="44"/>
      <c r="E212" s="44"/>
      <c r="H212" s="47"/>
      <c r="P212" s="44"/>
      <c r="Q212" s="44"/>
      <c r="U212" s="44"/>
      <c r="V212" s="44"/>
      <c r="Z212" s="44"/>
    </row>
    <row r="213" spans="2:26" x14ac:dyDescent="0.35">
      <c r="B213" s="44"/>
      <c r="C213" s="44"/>
      <c r="D213" s="44"/>
      <c r="E213" s="44"/>
      <c r="H213" s="47"/>
      <c r="P213" s="44"/>
      <c r="Q213" s="44"/>
      <c r="U213" s="44"/>
      <c r="V213" s="44"/>
      <c r="Z213" s="44"/>
    </row>
    <row r="214" spans="2:26" x14ac:dyDescent="0.35">
      <c r="B214" s="44"/>
      <c r="C214" s="44"/>
      <c r="D214" s="44"/>
      <c r="E214" s="44"/>
      <c r="H214" s="47"/>
      <c r="P214" s="44"/>
      <c r="Q214" s="44"/>
      <c r="U214" s="44"/>
      <c r="V214" s="44"/>
      <c r="Z214" s="44"/>
    </row>
    <row r="215" spans="2:26" x14ac:dyDescent="0.35">
      <c r="B215" s="44"/>
      <c r="C215" s="44"/>
      <c r="D215" s="44"/>
      <c r="E215" s="44"/>
      <c r="H215" s="47"/>
      <c r="P215" s="44"/>
      <c r="Q215" s="44"/>
      <c r="U215" s="44"/>
      <c r="V215" s="44"/>
      <c r="Z215" s="44"/>
    </row>
    <row r="216" spans="2:26" x14ac:dyDescent="0.35">
      <c r="B216" s="44"/>
      <c r="C216" s="44"/>
      <c r="D216" s="44"/>
      <c r="E216" s="44"/>
      <c r="H216" s="47"/>
      <c r="P216" s="44"/>
      <c r="Q216" s="44"/>
      <c r="U216" s="44"/>
      <c r="V216" s="44"/>
      <c r="Z216" s="44"/>
    </row>
    <row r="217" spans="2:26" x14ac:dyDescent="0.35">
      <c r="B217" s="44"/>
      <c r="C217" s="44"/>
      <c r="D217" s="44"/>
      <c r="E217" s="44"/>
      <c r="H217" s="47"/>
      <c r="P217" s="44"/>
      <c r="Q217" s="44"/>
      <c r="U217" s="44"/>
      <c r="V217" s="44"/>
      <c r="Z217" s="44"/>
    </row>
    <row r="218" spans="2:26" x14ac:dyDescent="0.35">
      <c r="B218" s="44"/>
      <c r="C218" s="44"/>
      <c r="D218" s="44"/>
      <c r="E218" s="44"/>
      <c r="H218" s="47"/>
      <c r="P218" s="44"/>
      <c r="Q218" s="44"/>
      <c r="U218" s="44"/>
      <c r="V218" s="44"/>
      <c r="Z218" s="44"/>
    </row>
    <row r="219" spans="2:26" x14ac:dyDescent="0.35">
      <c r="B219" s="44"/>
      <c r="C219" s="44"/>
      <c r="D219" s="44"/>
      <c r="E219" s="44"/>
      <c r="H219" s="47"/>
      <c r="P219" s="44"/>
      <c r="Q219" s="44"/>
      <c r="U219" s="44"/>
      <c r="V219" s="44"/>
      <c r="Z219" s="44"/>
    </row>
    <row r="220" spans="2:26" x14ac:dyDescent="0.35">
      <c r="B220" s="44"/>
      <c r="C220" s="44"/>
      <c r="D220" s="44"/>
      <c r="E220" s="44"/>
      <c r="H220" s="47"/>
      <c r="P220" s="44"/>
      <c r="Q220" s="44"/>
      <c r="U220" s="44"/>
      <c r="V220" s="44"/>
      <c r="Z220" s="44"/>
    </row>
    <row r="221" spans="2:26" x14ac:dyDescent="0.35">
      <c r="B221" s="44"/>
      <c r="C221" s="44"/>
      <c r="D221" s="44"/>
      <c r="E221" s="44"/>
      <c r="H221" s="47"/>
      <c r="P221" s="44"/>
      <c r="Q221" s="44"/>
      <c r="U221" s="44"/>
      <c r="V221" s="44"/>
      <c r="Z221" s="44"/>
    </row>
    <row r="222" spans="2:26" x14ac:dyDescent="0.35">
      <c r="B222" s="44"/>
      <c r="C222" s="44"/>
      <c r="D222" s="44"/>
      <c r="E222" s="44"/>
      <c r="H222" s="47"/>
      <c r="P222" s="44"/>
      <c r="Q222" s="44"/>
      <c r="U222" s="44"/>
      <c r="V222" s="44"/>
      <c r="Z222" s="44"/>
    </row>
    <row r="223" spans="2:26" x14ac:dyDescent="0.35">
      <c r="B223" s="44"/>
      <c r="C223" s="44"/>
      <c r="D223" s="44"/>
      <c r="E223" s="44"/>
      <c r="H223" s="47"/>
      <c r="P223" s="44"/>
      <c r="Q223" s="44"/>
      <c r="U223" s="44"/>
      <c r="V223" s="44"/>
      <c r="Z223" s="44"/>
    </row>
    <row r="224" spans="2:26" x14ac:dyDescent="0.35">
      <c r="B224" s="44"/>
      <c r="C224" s="44"/>
      <c r="D224" s="44"/>
      <c r="E224" s="44"/>
      <c r="H224" s="47"/>
      <c r="P224" s="44"/>
      <c r="Q224" s="44"/>
      <c r="U224" s="44"/>
      <c r="V224" s="44"/>
      <c r="Z224" s="44"/>
    </row>
    <row r="225" spans="2:26" x14ac:dyDescent="0.35">
      <c r="B225" s="44"/>
      <c r="C225" s="44"/>
      <c r="D225" s="44"/>
      <c r="E225" s="44"/>
      <c r="H225" s="47"/>
      <c r="P225" s="44"/>
      <c r="Q225" s="44"/>
      <c r="U225" s="44"/>
      <c r="V225" s="44"/>
      <c r="Z225" s="44"/>
    </row>
    <row r="226" spans="2:26" x14ac:dyDescent="0.35">
      <c r="B226" s="44"/>
      <c r="C226" s="44"/>
      <c r="D226" s="44"/>
      <c r="E226" s="44"/>
      <c r="H226" s="47"/>
      <c r="P226" s="44"/>
      <c r="Q226" s="44"/>
      <c r="U226" s="44"/>
      <c r="V226" s="44"/>
      <c r="Z226" s="44"/>
    </row>
    <row r="227" spans="2:26" x14ac:dyDescent="0.35">
      <c r="B227" s="44"/>
      <c r="C227" s="44"/>
      <c r="D227" s="44"/>
      <c r="E227" s="44"/>
      <c r="H227" s="47"/>
      <c r="P227" s="44"/>
      <c r="Q227" s="44"/>
      <c r="U227" s="44"/>
      <c r="V227" s="44"/>
      <c r="Z227" s="44"/>
    </row>
    <row r="228" spans="2:26" x14ac:dyDescent="0.35">
      <c r="B228" s="44"/>
      <c r="C228" s="44"/>
      <c r="D228" s="44"/>
      <c r="E228" s="44"/>
      <c r="H228" s="47"/>
      <c r="P228" s="44"/>
      <c r="Q228" s="44"/>
      <c r="U228" s="44"/>
      <c r="V228" s="44"/>
      <c r="Z228" s="44"/>
    </row>
    <row r="229" spans="2:26" x14ac:dyDescent="0.35">
      <c r="B229" s="44"/>
      <c r="C229" s="44"/>
      <c r="D229" s="44"/>
      <c r="E229" s="44"/>
      <c r="H229" s="47"/>
      <c r="P229" s="44"/>
      <c r="Q229" s="44"/>
      <c r="U229" s="44"/>
      <c r="V229" s="44"/>
      <c r="Z229" s="44"/>
    </row>
    <row r="230" spans="2:26" x14ac:dyDescent="0.35">
      <c r="B230" s="44"/>
      <c r="C230" s="44"/>
      <c r="D230" s="44"/>
      <c r="E230" s="44"/>
      <c r="H230" s="47"/>
      <c r="P230" s="44"/>
      <c r="Q230" s="44"/>
      <c r="U230" s="44"/>
      <c r="V230" s="44"/>
      <c r="Z230" s="44"/>
    </row>
    <row r="231" spans="2:26" x14ac:dyDescent="0.35">
      <c r="B231" s="44"/>
      <c r="C231" s="44"/>
      <c r="D231" s="44"/>
      <c r="E231" s="44"/>
      <c r="H231" s="47"/>
      <c r="P231" s="44"/>
      <c r="Q231" s="44"/>
      <c r="U231" s="44"/>
      <c r="V231" s="44"/>
      <c r="Z231" s="44"/>
    </row>
    <row r="232" spans="2:26" x14ac:dyDescent="0.35">
      <c r="B232" s="44"/>
      <c r="C232" s="44"/>
      <c r="D232" s="44"/>
      <c r="E232" s="44"/>
      <c r="H232" s="47"/>
      <c r="P232" s="44"/>
      <c r="Q232" s="44"/>
      <c r="U232" s="44"/>
      <c r="V232" s="44"/>
      <c r="Z232" s="44"/>
    </row>
    <row r="233" spans="2:26" x14ac:dyDescent="0.35">
      <c r="B233" s="44"/>
      <c r="C233" s="44"/>
      <c r="D233" s="44"/>
      <c r="E233" s="44"/>
      <c r="H233" s="47"/>
      <c r="P233" s="44"/>
      <c r="Q233" s="44"/>
      <c r="U233" s="44"/>
      <c r="V233" s="44"/>
      <c r="Z233" s="44"/>
    </row>
    <row r="234" spans="2:26" x14ac:dyDescent="0.35">
      <c r="B234" s="44"/>
      <c r="C234" s="44"/>
      <c r="D234" s="44"/>
      <c r="E234" s="44"/>
      <c r="H234" s="47"/>
      <c r="P234" s="44"/>
      <c r="Q234" s="44"/>
      <c r="U234" s="44"/>
      <c r="V234" s="44"/>
      <c r="Z234" s="44"/>
    </row>
    <row r="235" spans="2:26" x14ac:dyDescent="0.35">
      <c r="B235" s="44"/>
      <c r="C235" s="44"/>
      <c r="D235" s="44"/>
      <c r="E235" s="44"/>
      <c r="H235" s="47"/>
      <c r="P235" s="44"/>
      <c r="Q235" s="44"/>
      <c r="U235" s="44"/>
      <c r="V235" s="44"/>
      <c r="Z235" s="44"/>
    </row>
    <row r="236" spans="2:26" x14ac:dyDescent="0.35">
      <c r="B236" s="44"/>
      <c r="C236" s="44"/>
      <c r="D236" s="44"/>
      <c r="E236" s="44"/>
      <c r="H236" s="47"/>
      <c r="P236" s="44"/>
      <c r="Q236" s="44"/>
      <c r="U236" s="44"/>
      <c r="V236" s="44"/>
      <c r="Z236" s="44"/>
    </row>
    <row r="237" spans="2:26" x14ac:dyDescent="0.35">
      <c r="B237" s="44"/>
      <c r="C237" s="44"/>
      <c r="D237" s="44"/>
      <c r="E237" s="44"/>
      <c r="H237" s="47"/>
      <c r="P237" s="44"/>
      <c r="Q237" s="44"/>
      <c r="U237" s="44"/>
      <c r="V237" s="44"/>
      <c r="Z237" s="44"/>
    </row>
    <row r="238" spans="2:26" x14ac:dyDescent="0.35">
      <c r="B238" s="44"/>
      <c r="C238" s="44"/>
      <c r="D238" s="44"/>
      <c r="E238" s="44"/>
      <c r="H238" s="47"/>
      <c r="P238" s="44"/>
      <c r="Q238" s="44"/>
      <c r="U238" s="44"/>
      <c r="V238" s="44"/>
      <c r="Z238" s="44"/>
    </row>
    <row r="239" spans="2:26" x14ac:dyDescent="0.35">
      <c r="B239" s="44"/>
      <c r="C239" s="44"/>
      <c r="D239" s="44"/>
      <c r="E239" s="44"/>
      <c r="H239" s="47"/>
      <c r="P239" s="44"/>
      <c r="Q239" s="44"/>
      <c r="U239" s="44"/>
      <c r="V239" s="44"/>
      <c r="Z239" s="44"/>
    </row>
    <row r="240" spans="2:26" x14ac:dyDescent="0.35">
      <c r="B240" s="44"/>
      <c r="C240" s="44"/>
      <c r="D240" s="44"/>
      <c r="E240" s="44"/>
      <c r="H240" s="47"/>
      <c r="P240" s="44"/>
      <c r="Q240" s="44"/>
      <c r="U240" s="44"/>
      <c r="V240" s="44"/>
      <c r="Z240" s="44"/>
    </row>
    <row r="241" spans="2:26" x14ac:dyDescent="0.35">
      <c r="B241" s="44"/>
      <c r="C241" s="44"/>
      <c r="D241" s="44"/>
      <c r="E241" s="44"/>
      <c r="H241" s="47"/>
      <c r="P241" s="44"/>
      <c r="Q241" s="44"/>
      <c r="U241" s="44"/>
      <c r="V241" s="44"/>
      <c r="Z241" s="44"/>
    </row>
    <row r="242" spans="2:26" x14ac:dyDescent="0.35">
      <c r="B242" s="44"/>
      <c r="C242" s="44"/>
      <c r="D242" s="44"/>
      <c r="E242" s="44"/>
      <c r="H242" s="47"/>
      <c r="P242" s="44"/>
      <c r="Q242" s="44"/>
      <c r="U242" s="44"/>
      <c r="V242" s="44"/>
      <c r="Z242" s="44"/>
    </row>
    <row r="243" spans="2:26" x14ac:dyDescent="0.35">
      <c r="B243" s="44"/>
      <c r="C243" s="44"/>
      <c r="D243" s="44"/>
      <c r="E243" s="44"/>
      <c r="H243" s="47"/>
      <c r="P243" s="44"/>
      <c r="Q243" s="44"/>
      <c r="U243" s="44"/>
      <c r="V243" s="44"/>
      <c r="Z243" s="44"/>
    </row>
    <row r="244" spans="2:26" x14ac:dyDescent="0.35">
      <c r="B244" s="44"/>
      <c r="C244" s="44"/>
      <c r="D244" s="44"/>
      <c r="E244" s="44"/>
      <c r="H244" s="47"/>
      <c r="P244" s="44"/>
      <c r="Q244" s="44"/>
      <c r="U244" s="44"/>
      <c r="V244" s="44"/>
      <c r="Z244" s="44"/>
    </row>
    <row r="245" spans="2:26" x14ac:dyDescent="0.35">
      <c r="B245" s="44"/>
      <c r="C245" s="44"/>
      <c r="D245" s="44"/>
      <c r="E245" s="44"/>
      <c r="H245" s="47"/>
      <c r="P245" s="44"/>
      <c r="Q245" s="44"/>
      <c r="U245" s="44"/>
      <c r="V245" s="44"/>
      <c r="Z245" s="44"/>
    </row>
    <row r="246" spans="2:26" x14ac:dyDescent="0.35">
      <c r="B246" s="44"/>
      <c r="C246" s="44"/>
      <c r="D246" s="44"/>
      <c r="E246" s="44"/>
      <c r="H246" s="47"/>
      <c r="P246" s="44"/>
      <c r="Q246" s="44"/>
      <c r="U246" s="44"/>
      <c r="V246" s="44"/>
      <c r="Z246" s="44"/>
    </row>
    <row r="247" spans="2:26" x14ac:dyDescent="0.35">
      <c r="B247" s="44"/>
      <c r="C247" s="44"/>
      <c r="D247" s="44"/>
      <c r="E247" s="44"/>
      <c r="H247" s="47"/>
      <c r="P247" s="44"/>
      <c r="Q247" s="44"/>
      <c r="U247" s="44"/>
      <c r="V247" s="44"/>
      <c r="Z247" s="44"/>
    </row>
    <row r="248" spans="2:26" x14ac:dyDescent="0.35">
      <c r="B248" s="44"/>
      <c r="C248" s="44"/>
      <c r="D248" s="44"/>
      <c r="E248" s="44"/>
      <c r="H248" s="47"/>
      <c r="P248" s="44"/>
      <c r="Q248" s="44"/>
      <c r="U248" s="44"/>
      <c r="V248" s="44"/>
      <c r="Z248" s="44"/>
    </row>
    <row r="249" spans="2:26" x14ac:dyDescent="0.35">
      <c r="B249" s="44"/>
      <c r="C249" s="44"/>
      <c r="D249" s="44"/>
      <c r="E249" s="44"/>
      <c r="H249" s="47"/>
      <c r="P249" s="44"/>
      <c r="Q249" s="44"/>
      <c r="U249" s="44"/>
      <c r="V249" s="44"/>
      <c r="Z249" s="44"/>
    </row>
    <row r="250" spans="2:26" x14ac:dyDescent="0.35">
      <c r="B250" s="44"/>
      <c r="C250" s="44"/>
      <c r="D250" s="44"/>
      <c r="E250" s="44"/>
      <c r="H250" s="47"/>
      <c r="P250" s="44"/>
      <c r="Q250" s="44"/>
      <c r="U250" s="44"/>
      <c r="V250" s="44"/>
      <c r="Z250" s="44"/>
    </row>
    <row r="251" spans="2:26" x14ac:dyDescent="0.35">
      <c r="B251" s="44"/>
      <c r="C251" s="44"/>
      <c r="D251" s="44"/>
      <c r="E251" s="44"/>
      <c r="H251" s="47"/>
      <c r="P251" s="44"/>
      <c r="Q251" s="44"/>
      <c r="U251" s="44"/>
      <c r="V251" s="44"/>
      <c r="Z251" s="44"/>
    </row>
    <row r="252" spans="2:26" x14ac:dyDescent="0.35">
      <c r="B252" s="44"/>
      <c r="C252" s="44"/>
      <c r="D252" s="44"/>
      <c r="E252" s="44"/>
      <c r="H252" s="47"/>
      <c r="P252" s="44"/>
      <c r="Q252" s="44"/>
      <c r="U252" s="44"/>
      <c r="V252" s="44"/>
      <c r="Z252" s="44"/>
    </row>
    <row r="253" spans="2:26" x14ac:dyDescent="0.35">
      <c r="B253" s="44"/>
      <c r="C253" s="44"/>
      <c r="D253" s="44"/>
      <c r="E253" s="44"/>
      <c r="H253" s="47"/>
      <c r="P253" s="44"/>
      <c r="Q253" s="44"/>
      <c r="U253" s="44"/>
      <c r="V253" s="44"/>
      <c r="Z253" s="44"/>
    </row>
    <row r="254" spans="2:26" x14ac:dyDescent="0.35">
      <c r="B254" s="44"/>
      <c r="C254" s="44"/>
      <c r="D254" s="44"/>
      <c r="E254" s="44"/>
      <c r="H254" s="47"/>
      <c r="P254" s="44"/>
      <c r="Q254" s="44"/>
      <c r="U254" s="44"/>
      <c r="V254" s="44"/>
      <c r="Z254" s="44"/>
    </row>
    <row r="255" spans="2:26" x14ac:dyDescent="0.35">
      <c r="B255" s="44"/>
      <c r="C255" s="44"/>
      <c r="D255" s="44"/>
      <c r="E255" s="44"/>
      <c r="H255" s="47"/>
      <c r="P255" s="44"/>
      <c r="Q255" s="44"/>
      <c r="U255" s="44"/>
      <c r="V255" s="44"/>
      <c r="Z255" s="44"/>
    </row>
    <row r="256" spans="2:26" x14ac:dyDescent="0.35">
      <c r="B256" s="44"/>
      <c r="C256" s="44"/>
      <c r="D256" s="44"/>
      <c r="E256" s="44"/>
      <c r="H256" s="47"/>
      <c r="P256" s="44"/>
      <c r="Q256" s="44"/>
      <c r="U256" s="44"/>
      <c r="V256" s="44"/>
      <c r="Z256" s="44"/>
    </row>
    <row r="257" spans="2:26" x14ac:dyDescent="0.35">
      <c r="B257" s="44"/>
      <c r="C257" s="44"/>
      <c r="D257" s="44"/>
      <c r="E257" s="44"/>
      <c r="H257" s="47"/>
      <c r="P257" s="44"/>
      <c r="Q257" s="44"/>
      <c r="U257" s="44"/>
      <c r="V257" s="44"/>
      <c r="Z257" s="44"/>
    </row>
    <row r="258" spans="2:26" x14ac:dyDescent="0.35">
      <c r="B258" s="44"/>
      <c r="C258" s="44"/>
      <c r="D258" s="44"/>
      <c r="E258" s="44"/>
      <c r="H258" s="47"/>
      <c r="P258" s="44"/>
      <c r="Q258" s="44"/>
      <c r="U258" s="44"/>
      <c r="V258" s="44"/>
      <c r="Z258" s="44"/>
    </row>
    <row r="259" spans="2:26" x14ac:dyDescent="0.35">
      <c r="B259" s="44"/>
      <c r="C259" s="44"/>
      <c r="D259" s="44"/>
      <c r="E259" s="44"/>
      <c r="H259" s="47"/>
      <c r="P259" s="44"/>
      <c r="Q259" s="44"/>
      <c r="U259" s="44"/>
      <c r="V259" s="44"/>
      <c r="Z259" s="44"/>
    </row>
    <row r="260" spans="2:26" x14ac:dyDescent="0.35">
      <c r="B260" s="44"/>
      <c r="C260" s="44"/>
      <c r="D260" s="44"/>
      <c r="E260" s="44"/>
      <c r="H260" s="47"/>
      <c r="P260" s="44"/>
      <c r="Q260" s="44"/>
      <c r="U260" s="44"/>
      <c r="V260" s="44"/>
      <c r="Z260" s="44"/>
    </row>
    <row r="261" spans="2:26" x14ac:dyDescent="0.35">
      <c r="B261" s="44"/>
      <c r="C261" s="44"/>
      <c r="D261" s="44"/>
      <c r="E261" s="44"/>
      <c r="H261" s="47"/>
      <c r="P261" s="44"/>
      <c r="Q261" s="44"/>
      <c r="U261" s="44"/>
      <c r="V261" s="44"/>
      <c r="Z261" s="44"/>
    </row>
    <row r="262" spans="2:26" x14ac:dyDescent="0.35">
      <c r="B262" s="44"/>
      <c r="C262" s="44"/>
      <c r="D262" s="44"/>
      <c r="E262" s="44"/>
      <c r="H262" s="47"/>
      <c r="P262" s="44"/>
      <c r="Q262" s="44"/>
      <c r="U262" s="44"/>
      <c r="V262" s="44"/>
      <c r="Z262" s="44"/>
    </row>
    <row r="263" spans="2:26" x14ac:dyDescent="0.35">
      <c r="B263" s="44"/>
      <c r="C263" s="44"/>
      <c r="D263" s="44"/>
      <c r="E263" s="44"/>
      <c r="H263" s="47"/>
      <c r="P263" s="44"/>
      <c r="Q263" s="44"/>
      <c r="U263" s="44"/>
      <c r="V263" s="44"/>
      <c r="Z263" s="44"/>
    </row>
    <row r="264" spans="2:26" x14ac:dyDescent="0.35">
      <c r="B264" s="44"/>
      <c r="C264" s="44"/>
      <c r="D264" s="44"/>
      <c r="E264" s="44"/>
      <c r="H264" s="47"/>
      <c r="P264" s="44"/>
      <c r="Q264" s="44"/>
      <c r="U264" s="44"/>
      <c r="V264" s="44"/>
      <c r="Z264" s="44"/>
    </row>
    <row r="265" spans="2:26" x14ac:dyDescent="0.35">
      <c r="B265" s="44"/>
      <c r="C265" s="44"/>
      <c r="D265" s="44"/>
      <c r="E265" s="44"/>
      <c r="H265" s="47"/>
      <c r="P265" s="44"/>
      <c r="Q265" s="44"/>
      <c r="U265" s="44"/>
      <c r="V265" s="44"/>
      <c r="Z265" s="44"/>
    </row>
    <row r="266" spans="2:26" x14ac:dyDescent="0.35">
      <c r="B266" s="44"/>
      <c r="C266" s="44"/>
      <c r="D266" s="44"/>
      <c r="E266" s="44"/>
      <c r="H266" s="47"/>
      <c r="P266" s="44"/>
      <c r="Q266" s="44"/>
      <c r="U266" s="44"/>
      <c r="V266" s="44"/>
      <c r="Z266" s="44"/>
    </row>
    <row r="267" spans="2:26" x14ac:dyDescent="0.35">
      <c r="B267" s="44"/>
      <c r="C267" s="44"/>
      <c r="D267" s="44"/>
      <c r="E267" s="44"/>
      <c r="H267" s="47"/>
      <c r="P267" s="44"/>
      <c r="Q267" s="44"/>
      <c r="U267" s="44"/>
      <c r="V267" s="44"/>
      <c r="Z267" s="44"/>
    </row>
    <row r="268" spans="2:26" x14ac:dyDescent="0.35">
      <c r="B268" s="44"/>
      <c r="C268" s="44"/>
      <c r="D268" s="44"/>
      <c r="E268" s="44"/>
      <c r="H268" s="47"/>
      <c r="P268" s="44"/>
      <c r="Q268" s="44"/>
      <c r="U268" s="44"/>
      <c r="V268" s="44"/>
      <c r="Z268" s="44"/>
    </row>
    <row r="269" spans="2:26" x14ac:dyDescent="0.35">
      <c r="B269" s="44"/>
      <c r="C269" s="44"/>
      <c r="D269" s="44"/>
      <c r="E269" s="44"/>
      <c r="H269" s="47"/>
      <c r="P269" s="44"/>
      <c r="Q269" s="44"/>
      <c r="U269" s="44"/>
      <c r="V269" s="44"/>
      <c r="Z269" s="44"/>
    </row>
    <row r="270" spans="2:26" x14ac:dyDescent="0.35">
      <c r="B270" s="44"/>
      <c r="C270" s="44"/>
      <c r="D270" s="44"/>
      <c r="E270" s="44"/>
      <c r="H270" s="47"/>
      <c r="P270" s="44"/>
      <c r="Q270" s="44"/>
      <c r="U270" s="44"/>
      <c r="V270" s="44"/>
      <c r="Z270" s="44"/>
    </row>
    <row r="271" spans="2:26" x14ac:dyDescent="0.35">
      <c r="B271" s="44"/>
      <c r="C271" s="44"/>
      <c r="D271" s="44"/>
      <c r="E271" s="44"/>
      <c r="H271" s="47"/>
      <c r="P271" s="44"/>
      <c r="Q271" s="44"/>
      <c r="U271" s="44"/>
      <c r="V271" s="44"/>
      <c r="Z271" s="44"/>
    </row>
    <row r="272" spans="2:26" x14ac:dyDescent="0.35">
      <c r="B272" s="44"/>
      <c r="C272" s="44"/>
      <c r="D272" s="44"/>
      <c r="E272" s="44"/>
      <c r="H272" s="47"/>
      <c r="P272" s="44"/>
      <c r="Q272" s="44"/>
      <c r="U272" s="44"/>
      <c r="V272" s="44"/>
      <c r="Z272" s="44"/>
    </row>
    <row r="273" spans="2:26" x14ac:dyDescent="0.35">
      <c r="B273" s="44"/>
      <c r="C273" s="44"/>
      <c r="D273" s="44"/>
      <c r="E273" s="44"/>
      <c r="H273" s="47"/>
      <c r="P273" s="44"/>
      <c r="Q273" s="44"/>
      <c r="U273" s="44"/>
      <c r="V273" s="44"/>
      <c r="Z273" s="44"/>
    </row>
    <row r="274" spans="2:26" x14ac:dyDescent="0.35">
      <c r="B274" s="44"/>
      <c r="C274" s="44"/>
      <c r="D274" s="44"/>
      <c r="E274" s="44"/>
      <c r="H274" s="47"/>
      <c r="P274" s="44"/>
      <c r="Q274" s="44"/>
      <c r="U274" s="44"/>
      <c r="V274" s="44"/>
      <c r="Z274" s="44"/>
    </row>
    <row r="275" spans="2:26" x14ac:dyDescent="0.35">
      <c r="B275" s="44"/>
      <c r="C275" s="44"/>
      <c r="D275" s="44"/>
      <c r="E275" s="44"/>
      <c r="H275" s="47"/>
      <c r="P275" s="44"/>
      <c r="Q275" s="44"/>
      <c r="U275" s="44"/>
      <c r="V275" s="44"/>
      <c r="Z275" s="44"/>
    </row>
    <row r="276" spans="2:26" x14ac:dyDescent="0.35">
      <c r="B276" s="44"/>
      <c r="C276" s="44"/>
      <c r="D276" s="44"/>
      <c r="E276" s="44"/>
      <c r="H276" s="47"/>
      <c r="P276" s="44"/>
      <c r="Q276" s="44"/>
      <c r="U276" s="44"/>
      <c r="V276" s="44"/>
      <c r="Z276" s="44"/>
    </row>
    <row r="277" spans="2:26" x14ac:dyDescent="0.35">
      <c r="B277" s="44"/>
      <c r="C277" s="44"/>
      <c r="D277" s="44"/>
      <c r="E277" s="44"/>
      <c r="H277" s="47"/>
      <c r="P277" s="44"/>
      <c r="Q277" s="44"/>
      <c r="U277" s="44"/>
      <c r="V277" s="44"/>
      <c r="Z277" s="44"/>
    </row>
    <row r="278" spans="2:26" x14ac:dyDescent="0.35">
      <c r="B278" s="44"/>
      <c r="C278" s="44"/>
      <c r="D278" s="44"/>
      <c r="E278" s="44"/>
      <c r="H278" s="47"/>
      <c r="P278" s="44"/>
      <c r="Q278" s="44"/>
      <c r="U278" s="44"/>
      <c r="V278" s="44"/>
      <c r="Z278" s="44"/>
    </row>
    <row r="279" spans="2:26" x14ac:dyDescent="0.35">
      <c r="B279" s="44"/>
      <c r="C279" s="44"/>
      <c r="D279" s="44"/>
      <c r="E279" s="44"/>
      <c r="H279" s="47"/>
      <c r="P279" s="44"/>
      <c r="Q279" s="44"/>
      <c r="U279" s="44"/>
      <c r="V279" s="44"/>
      <c r="Z279" s="44"/>
    </row>
    <row r="280" spans="2:26" x14ac:dyDescent="0.35">
      <c r="B280" s="44"/>
      <c r="C280" s="44"/>
      <c r="D280" s="44"/>
      <c r="E280" s="44"/>
      <c r="H280" s="47"/>
      <c r="P280" s="44"/>
      <c r="Q280" s="44"/>
      <c r="U280" s="44"/>
      <c r="V280" s="44"/>
      <c r="Z280" s="44"/>
    </row>
    <row r="281" spans="2:26" x14ac:dyDescent="0.35">
      <c r="B281" s="44"/>
      <c r="C281" s="44"/>
      <c r="D281" s="44"/>
      <c r="E281" s="44"/>
      <c r="H281" s="47"/>
      <c r="P281" s="44"/>
      <c r="Q281" s="44"/>
      <c r="U281" s="44"/>
      <c r="V281" s="44"/>
      <c r="Z281" s="44"/>
    </row>
    <row r="282" spans="2:26" x14ac:dyDescent="0.35">
      <c r="B282" s="44"/>
      <c r="C282" s="44"/>
      <c r="D282" s="44"/>
      <c r="E282" s="44"/>
      <c r="H282" s="47"/>
      <c r="P282" s="44"/>
      <c r="Q282" s="44"/>
      <c r="U282" s="44"/>
      <c r="V282" s="44"/>
      <c r="Z282" s="44"/>
    </row>
    <row r="283" spans="2:26" x14ac:dyDescent="0.35">
      <c r="B283" s="44"/>
      <c r="C283" s="44"/>
      <c r="D283" s="44"/>
      <c r="E283" s="44"/>
      <c r="H283" s="47"/>
      <c r="P283" s="44"/>
      <c r="Q283" s="44"/>
      <c r="U283" s="44"/>
      <c r="V283" s="44"/>
      <c r="Z283" s="44"/>
    </row>
    <row r="284" spans="2:26" x14ac:dyDescent="0.35">
      <c r="B284" s="44"/>
      <c r="C284" s="44"/>
      <c r="D284" s="44"/>
      <c r="E284" s="44"/>
      <c r="H284" s="47"/>
      <c r="P284" s="44"/>
      <c r="Q284" s="44"/>
      <c r="U284" s="44"/>
      <c r="V284" s="44"/>
      <c r="Z284" s="44"/>
    </row>
    <row r="285" spans="2:26" x14ac:dyDescent="0.35">
      <c r="B285" s="44"/>
      <c r="C285" s="44"/>
      <c r="D285" s="44"/>
      <c r="E285" s="44"/>
      <c r="H285" s="47"/>
      <c r="P285" s="44"/>
      <c r="Q285" s="44"/>
      <c r="U285" s="44"/>
      <c r="V285" s="44"/>
      <c r="Z285" s="44"/>
    </row>
    <row r="286" spans="2:26" x14ac:dyDescent="0.35">
      <c r="B286" s="44"/>
      <c r="C286" s="44"/>
      <c r="D286" s="44"/>
      <c r="E286" s="44"/>
      <c r="H286" s="47"/>
      <c r="P286" s="44"/>
      <c r="Q286" s="44"/>
      <c r="U286" s="44"/>
      <c r="V286" s="44"/>
      <c r="Z286" s="44"/>
    </row>
    <row r="287" spans="2:26" x14ac:dyDescent="0.35">
      <c r="B287" s="44"/>
      <c r="C287" s="44"/>
      <c r="D287" s="44"/>
      <c r="E287" s="44"/>
      <c r="H287" s="47"/>
      <c r="P287" s="44"/>
      <c r="Q287" s="44"/>
      <c r="U287" s="44"/>
      <c r="V287" s="44"/>
      <c r="Z287" s="44"/>
    </row>
    <row r="288" spans="2:26" x14ac:dyDescent="0.35">
      <c r="B288" s="44"/>
      <c r="C288" s="44"/>
      <c r="D288" s="44"/>
      <c r="E288" s="44"/>
      <c r="H288" s="47"/>
      <c r="P288" s="44"/>
      <c r="Q288" s="44"/>
      <c r="U288" s="44"/>
      <c r="V288" s="44"/>
      <c r="Z288" s="44"/>
    </row>
    <row r="289" spans="2:26" x14ac:dyDescent="0.35">
      <c r="B289" s="44"/>
      <c r="C289" s="44"/>
      <c r="D289" s="44"/>
      <c r="E289" s="44"/>
      <c r="H289" s="47"/>
      <c r="P289" s="44"/>
      <c r="Q289" s="44"/>
      <c r="U289" s="44"/>
      <c r="V289" s="44"/>
      <c r="Z289" s="44"/>
    </row>
    <row r="290" spans="2:26" x14ac:dyDescent="0.35">
      <c r="B290" s="44"/>
      <c r="C290" s="44"/>
      <c r="D290" s="44"/>
      <c r="E290" s="44"/>
      <c r="H290" s="47"/>
      <c r="P290" s="44"/>
      <c r="Q290" s="44"/>
      <c r="U290" s="44"/>
      <c r="V290" s="44"/>
      <c r="Z290" s="44"/>
    </row>
    <row r="291" spans="2:26" x14ac:dyDescent="0.35">
      <c r="B291" s="44"/>
      <c r="C291" s="44"/>
      <c r="D291" s="44"/>
      <c r="E291" s="44"/>
      <c r="H291" s="47"/>
      <c r="P291" s="44"/>
      <c r="Q291" s="44"/>
      <c r="U291" s="44"/>
      <c r="V291" s="44"/>
      <c r="Z291" s="44"/>
    </row>
    <row r="292" spans="2:26" x14ac:dyDescent="0.35">
      <c r="B292" s="44"/>
      <c r="C292" s="44"/>
      <c r="D292" s="44"/>
      <c r="E292" s="44"/>
      <c r="H292" s="47"/>
      <c r="P292" s="44"/>
      <c r="Q292" s="44"/>
      <c r="U292" s="44"/>
      <c r="V292" s="44"/>
      <c r="Z292" s="44"/>
    </row>
    <row r="293" spans="2:26" x14ac:dyDescent="0.35">
      <c r="B293" s="44"/>
      <c r="C293" s="44"/>
      <c r="D293" s="44"/>
      <c r="E293" s="44"/>
      <c r="H293" s="47"/>
      <c r="P293" s="44"/>
      <c r="Q293" s="44"/>
      <c r="U293" s="44"/>
      <c r="V293" s="44"/>
      <c r="Z293" s="44"/>
    </row>
    <row r="294" spans="2:26" x14ac:dyDescent="0.35">
      <c r="B294" s="44"/>
      <c r="C294" s="44"/>
      <c r="D294" s="44"/>
      <c r="E294" s="44"/>
      <c r="H294" s="47"/>
      <c r="P294" s="44"/>
      <c r="Q294" s="44"/>
      <c r="U294" s="44"/>
      <c r="V294" s="44"/>
      <c r="Z294" s="44"/>
    </row>
    <row r="295" spans="2:26" x14ac:dyDescent="0.35">
      <c r="B295" s="44"/>
      <c r="C295" s="44"/>
      <c r="D295" s="44"/>
      <c r="E295" s="44"/>
      <c r="H295" s="47"/>
      <c r="P295" s="44"/>
      <c r="Q295" s="44"/>
      <c r="U295" s="44"/>
      <c r="V295" s="44"/>
      <c r="Z295" s="44"/>
    </row>
    <row r="296" spans="2:26" x14ac:dyDescent="0.35">
      <c r="B296" s="44"/>
      <c r="C296" s="44"/>
      <c r="D296" s="44"/>
      <c r="E296" s="44"/>
      <c r="H296" s="47"/>
      <c r="P296" s="44"/>
      <c r="Q296" s="44"/>
      <c r="U296" s="44"/>
      <c r="V296" s="44"/>
      <c r="Z296" s="44"/>
    </row>
    <row r="297" spans="2:26" x14ac:dyDescent="0.35">
      <c r="B297" s="44"/>
      <c r="C297" s="44"/>
      <c r="D297" s="44"/>
      <c r="E297" s="44"/>
      <c r="H297" s="47"/>
      <c r="P297" s="44"/>
      <c r="Q297" s="44"/>
      <c r="U297" s="44"/>
      <c r="V297" s="44"/>
      <c r="Z297" s="44"/>
    </row>
    <row r="298" spans="2:26" x14ac:dyDescent="0.35">
      <c r="B298" s="44"/>
      <c r="C298" s="44"/>
      <c r="D298" s="44"/>
      <c r="E298" s="44"/>
      <c r="H298" s="47"/>
      <c r="P298" s="44"/>
      <c r="Q298" s="44"/>
      <c r="U298" s="44"/>
      <c r="V298" s="44"/>
      <c r="Z298" s="44"/>
    </row>
    <row r="299" spans="2:26" x14ac:dyDescent="0.35">
      <c r="B299" s="44"/>
      <c r="C299" s="44"/>
      <c r="D299" s="44"/>
      <c r="E299" s="44"/>
      <c r="H299" s="47"/>
      <c r="P299" s="44"/>
      <c r="Q299" s="44"/>
      <c r="U299" s="44"/>
      <c r="V299" s="44"/>
      <c r="Z299" s="44"/>
    </row>
    <row r="300" spans="2:26" x14ac:dyDescent="0.35">
      <c r="B300" s="44"/>
      <c r="C300" s="44"/>
      <c r="D300" s="44"/>
      <c r="E300" s="44"/>
      <c r="H300" s="47"/>
      <c r="P300" s="44"/>
      <c r="Q300" s="44"/>
      <c r="U300" s="44"/>
      <c r="V300" s="44"/>
      <c r="Z300" s="44"/>
    </row>
    <row r="301" spans="2:26" x14ac:dyDescent="0.35">
      <c r="B301" s="44"/>
      <c r="C301" s="44"/>
      <c r="D301" s="44"/>
      <c r="E301" s="44"/>
      <c r="H301" s="47"/>
      <c r="P301" s="44"/>
      <c r="Q301" s="44"/>
      <c r="U301" s="44"/>
      <c r="V301" s="44"/>
      <c r="Z301" s="44"/>
    </row>
    <row r="302" spans="2:26" x14ac:dyDescent="0.35">
      <c r="B302" s="44"/>
      <c r="C302" s="44"/>
      <c r="D302" s="44"/>
      <c r="E302" s="44"/>
      <c r="H302" s="47"/>
      <c r="P302" s="44"/>
      <c r="Q302" s="44"/>
      <c r="U302" s="44"/>
      <c r="V302" s="44"/>
      <c r="Z302" s="44"/>
    </row>
    <row r="303" spans="2:26" x14ac:dyDescent="0.35">
      <c r="B303" s="44"/>
      <c r="C303" s="44"/>
      <c r="D303" s="44"/>
      <c r="E303" s="44"/>
      <c r="H303" s="47"/>
      <c r="P303" s="44"/>
      <c r="Q303" s="44"/>
      <c r="U303" s="44"/>
      <c r="V303" s="44"/>
      <c r="Z303" s="44"/>
    </row>
    <row r="304" spans="2:26" x14ac:dyDescent="0.35">
      <c r="B304" s="44"/>
      <c r="C304" s="44"/>
      <c r="D304" s="44"/>
      <c r="E304" s="44"/>
      <c r="H304" s="47"/>
      <c r="P304" s="44"/>
      <c r="Q304" s="44"/>
      <c r="U304" s="44"/>
      <c r="V304" s="44"/>
      <c r="Z304" s="44"/>
    </row>
    <row r="305" spans="2:26" x14ac:dyDescent="0.35">
      <c r="B305" s="44"/>
      <c r="C305" s="44"/>
      <c r="D305" s="44"/>
      <c r="E305" s="44"/>
      <c r="H305" s="47"/>
      <c r="P305" s="44"/>
      <c r="Q305" s="44"/>
      <c r="U305" s="44"/>
      <c r="V305" s="44"/>
      <c r="Z305" s="44"/>
    </row>
    <row r="306" spans="2:26" x14ac:dyDescent="0.35">
      <c r="B306" s="44"/>
      <c r="C306" s="44"/>
      <c r="D306" s="44"/>
      <c r="E306" s="44"/>
      <c r="H306" s="47"/>
      <c r="P306" s="44"/>
      <c r="Q306" s="44"/>
      <c r="U306" s="44"/>
      <c r="V306" s="44"/>
      <c r="Z306" s="44"/>
    </row>
    <row r="307" spans="2:26" x14ac:dyDescent="0.35">
      <c r="B307" s="44"/>
      <c r="C307" s="44"/>
      <c r="D307" s="44"/>
      <c r="E307" s="44"/>
      <c r="H307" s="47"/>
      <c r="P307" s="44"/>
      <c r="Q307" s="44"/>
      <c r="U307" s="44"/>
      <c r="V307" s="44"/>
      <c r="Z307" s="44"/>
    </row>
    <row r="308" spans="2:26" x14ac:dyDescent="0.35">
      <c r="B308" s="44"/>
      <c r="C308" s="44"/>
      <c r="D308" s="44"/>
      <c r="E308" s="44"/>
      <c r="H308" s="47"/>
      <c r="P308" s="44"/>
      <c r="Q308" s="44"/>
      <c r="U308" s="44"/>
      <c r="V308" s="44"/>
      <c r="Z308" s="44"/>
    </row>
    <row r="309" spans="2:26" x14ac:dyDescent="0.35">
      <c r="B309" s="44"/>
      <c r="C309" s="44"/>
      <c r="D309" s="44"/>
      <c r="E309" s="44"/>
      <c r="H309" s="47"/>
      <c r="P309" s="44"/>
      <c r="Q309" s="44"/>
      <c r="U309" s="44"/>
      <c r="V309" s="44"/>
      <c r="Z309" s="44"/>
    </row>
    <row r="310" spans="2:26" x14ac:dyDescent="0.35">
      <c r="B310" s="44"/>
      <c r="C310" s="44"/>
      <c r="D310" s="44"/>
      <c r="E310" s="44"/>
      <c r="H310" s="47"/>
      <c r="P310" s="44"/>
      <c r="Q310" s="44"/>
      <c r="U310" s="44"/>
      <c r="V310" s="44"/>
      <c r="Z310" s="44"/>
    </row>
    <row r="311" spans="2:26" x14ac:dyDescent="0.35">
      <c r="B311" s="44"/>
      <c r="C311" s="44"/>
      <c r="D311" s="44"/>
      <c r="E311" s="44"/>
      <c r="H311" s="47"/>
      <c r="P311" s="44"/>
      <c r="Q311" s="44"/>
      <c r="U311" s="44"/>
      <c r="V311" s="44"/>
      <c r="Z311" s="44"/>
    </row>
    <row r="312" spans="2:26" x14ac:dyDescent="0.35">
      <c r="B312" s="44"/>
      <c r="C312" s="44"/>
      <c r="D312" s="44"/>
      <c r="E312" s="44"/>
      <c r="H312" s="47"/>
      <c r="P312" s="44"/>
      <c r="Q312" s="44"/>
      <c r="U312" s="44"/>
      <c r="V312" s="44"/>
      <c r="Z312" s="44"/>
    </row>
    <row r="313" spans="2:26" x14ac:dyDescent="0.35">
      <c r="B313" s="44"/>
      <c r="C313" s="44"/>
      <c r="D313" s="44"/>
      <c r="E313" s="44"/>
      <c r="H313" s="47"/>
      <c r="P313" s="44"/>
      <c r="Q313" s="44"/>
      <c r="U313" s="44"/>
      <c r="V313" s="44"/>
      <c r="Z313" s="44"/>
    </row>
    <row r="314" spans="2:26" x14ac:dyDescent="0.35">
      <c r="B314" s="44"/>
      <c r="C314" s="44"/>
      <c r="D314" s="44"/>
      <c r="E314" s="44"/>
      <c r="H314" s="47"/>
      <c r="P314" s="44"/>
      <c r="Q314" s="44"/>
      <c r="U314" s="44"/>
      <c r="V314" s="44"/>
      <c r="Z314" s="44"/>
    </row>
    <row r="315" spans="2:26" x14ac:dyDescent="0.35">
      <c r="B315" s="44"/>
      <c r="C315" s="44"/>
      <c r="D315" s="44"/>
      <c r="E315" s="44"/>
      <c r="H315" s="47"/>
      <c r="P315" s="44"/>
      <c r="Q315" s="44"/>
      <c r="U315" s="44"/>
      <c r="V315" s="44"/>
      <c r="Z315" s="44"/>
    </row>
    <row r="316" spans="2:26" x14ac:dyDescent="0.35">
      <c r="B316" s="44"/>
      <c r="C316" s="44"/>
      <c r="D316" s="44"/>
      <c r="E316" s="44"/>
      <c r="H316" s="47"/>
      <c r="P316" s="44"/>
      <c r="Q316" s="44"/>
      <c r="U316" s="44"/>
      <c r="V316" s="44"/>
      <c r="Z316" s="44"/>
    </row>
    <row r="317" spans="2:26" x14ac:dyDescent="0.35">
      <c r="B317" s="44"/>
      <c r="C317" s="44"/>
      <c r="D317" s="44"/>
      <c r="E317" s="44"/>
      <c r="H317" s="47"/>
      <c r="P317" s="44"/>
      <c r="Q317" s="44"/>
      <c r="U317" s="44"/>
      <c r="V317" s="44"/>
      <c r="Z317" s="44"/>
    </row>
    <row r="318" spans="2:26" x14ac:dyDescent="0.35">
      <c r="B318" s="44"/>
      <c r="C318" s="44"/>
      <c r="D318" s="44"/>
      <c r="E318" s="44"/>
      <c r="H318" s="47"/>
      <c r="P318" s="44"/>
      <c r="Q318" s="44"/>
      <c r="U318" s="44"/>
      <c r="V318" s="44"/>
      <c r="Z318" s="44"/>
    </row>
    <row r="319" spans="2:26" x14ac:dyDescent="0.35">
      <c r="B319" s="44"/>
      <c r="C319" s="44"/>
      <c r="D319" s="44"/>
      <c r="E319" s="44"/>
      <c r="H319" s="47"/>
      <c r="P319" s="44"/>
      <c r="Q319" s="44"/>
      <c r="U319" s="44"/>
      <c r="V319" s="44"/>
      <c r="Z319" s="44"/>
    </row>
    <row r="320" spans="2:26" x14ac:dyDescent="0.35">
      <c r="B320" s="44"/>
      <c r="C320" s="44"/>
      <c r="D320" s="44"/>
      <c r="E320" s="44"/>
      <c r="H320" s="47"/>
      <c r="P320" s="44"/>
      <c r="Q320" s="44"/>
      <c r="U320" s="44"/>
      <c r="V320" s="44"/>
      <c r="Z320" s="44"/>
    </row>
    <row r="321" spans="2:26" x14ac:dyDescent="0.35">
      <c r="B321" s="44"/>
      <c r="C321" s="44"/>
      <c r="D321" s="44"/>
      <c r="E321" s="44"/>
      <c r="H321" s="47"/>
      <c r="P321" s="44"/>
      <c r="Q321" s="44"/>
      <c r="U321" s="44"/>
      <c r="V321" s="44"/>
      <c r="Z321" s="44"/>
    </row>
    <row r="322" spans="2:26" x14ac:dyDescent="0.35">
      <c r="B322" s="44"/>
      <c r="C322" s="44"/>
      <c r="D322" s="44"/>
      <c r="E322" s="44"/>
      <c r="H322" s="47"/>
      <c r="P322" s="44"/>
      <c r="Q322" s="44"/>
      <c r="U322" s="44"/>
      <c r="V322" s="44"/>
      <c r="Z322" s="44"/>
    </row>
    <row r="323" spans="2:26" x14ac:dyDescent="0.35">
      <c r="B323" s="44"/>
      <c r="C323" s="44"/>
      <c r="D323" s="44"/>
      <c r="E323" s="44"/>
      <c r="H323" s="47"/>
      <c r="P323" s="44"/>
      <c r="Q323" s="44"/>
      <c r="U323" s="44"/>
      <c r="V323" s="44"/>
      <c r="Z323" s="44"/>
    </row>
    <row r="324" spans="2:26" x14ac:dyDescent="0.35">
      <c r="B324" s="44"/>
      <c r="C324" s="44"/>
      <c r="D324" s="44"/>
      <c r="E324" s="44"/>
      <c r="H324" s="47"/>
      <c r="P324" s="44"/>
      <c r="Q324" s="44"/>
      <c r="U324" s="44"/>
      <c r="V324" s="44"/>
      <c r="Z324" s="44"/>
    </row>
    <row r="325" spans="2:26" x14ac:dyDescent="0.35">
      <c r="B325" s="44"/>
      <c r="C325" s="44"/>
      <c r="D325" s="44"/>
      <c r="E325" s="44"/>
      <c r="H325" s="47"/>
      <c r="P325" s="44"/>
      <c r="Q325" s="44"/>
      <c r="U325" s="44"/>
      <c r="V325" s="44"/>
      <c r="Z325" s="44"/>
    </row>
    <row r="326" spans="2:26" x14ac:dyDescent="0.35">
      <c r="B326" s="44"/>
      <c r="C326" s="44"/>
      <c r="D326" s="44"/>
      <c r="E326" s="44"/>
      <c r="H326" s="47"/>
      <c r="P326" s="44"/>
      <c r="Q326" s="44"/>
      <c r="U326" s="44"/>
      <c r="V326" s="44"/>
      <c r="Z326" s="44"/>
    </row>
    <row r="327" spans="2:26" x14ac:dyDescent="0.35">
      <c r="B327" s="44"/>
      <c r="C327" s="44"/>
      <c r="D327" s="44"/>
      <c r="E327" s="44"/>
      <c r="H327" s="47"/>
      <c r="P327" s="44"/>
      <c r="Q327" s="44"/>
      <c r="U327" s="44"/>
      <c r="V327" s="44"/>
      <c r="Z327" s="44"/>
    </row>
    <row r="328" spans="2:26" x14ac:dyDescent="0.35">
      <c r="B328" s="44"/>
      <c r="C328" s="44"/>
      <c r="D328" s="44"/>
      <c r="E328" s="44"/>
      <c r="H328" s="47"/>
      <c r="P328" s="44"/>
      <c r="Q328" s="44"/>
      <c r="U328" s="44"/>
      <c r="V328" s="44"/>
      <c r="Z328" s="44"/>
    </row>
    <row r="329" spans="2:26" x14ac:dyDescent="0.35">
      <c r="B329" s="44"/>
      <c r="C329" s="44"/>
      <c r="D329" s="44"/>
      <c r="E329" s="44"/>
      <c r="H329" s="47"/>
      <c r="P329" s="44"/>
      <c r="Q329" s="44"/>
      <c r="U329" s="44"/>
      <c r="V329" s="44"/>
      <c r="Z329" s="44"/>
    </row>
    <row r="330" spans="2:26" x14ac:dyDescent="0.35">
      <c r="B330" s="44"/>
      <c r="C330" s="44"/>
      <c r="D330" s="44"/>
      <c r="E330" s="44"/>
      <c r="H330" s="47"/>
      <c r="P330" s="44"/>
      <c r="Q330" s="44"/>
      <c r="U330" s="44"/>
      <c r="V330" s="44"/>
      <c r="Z330" s="44"/>
    </row>
    <row r="331" spans="2:26" x14ac:dyDescent="0.35">
      <c r="B331" s="44"/>
      <c r="C331" s="44"/>
      <c r="D331" s="44"/>
      <c r="E331" s="44"/>
      <c r="H331" s="47"/>
      <c r="P331" s="44"/>
      <c r="Q331" s="44"/>
      <c r="U331" s="44"/>
      <c r="V331" s="44"/>
      <c r="Z331" s="44"/>
    </row>
    <row r="332" spans="2:26" x14ac:dyDescent="0.35">
      <c r="B332" s="44"/>
      <c r="C332" s="44"/>
      <c r="D332" s="44"/>
      <c r="E332" s="44"/>
      <c r="H332" s="47"/>
      <c r="P332" s="44"/>
      <c r="Q332" s="44"/>
      <c r="U332" s="44"/>
      <c r="V332" s="44"/>
      <c r="Z332" s="44"/>
    </row>
    <row r="333" spans="2:26" x14ac:dyDescent="0.35">
      <c r="B333" s="44"/>
      <c r="C333" s="44"/>
      <c r="D333" s="44"/>
      <c r="E333" s="44"/>
      <c r="H333" s="47"/>
      <c r="P333" s="44"/>
      <c r="Q333" s="44"/>
      <c r="U333" s="44"/>
      <c r="V333" s="44"/>
      <c r="Z333" s="44"/>
    </row>
    <row r="334" spans="2:26" x14ac:dyDescent="0.35">
      <c r="B334" s="44"/>
      <c r="C334" s="44"/>
      <c r="D334" s="44"/>
      <c r="E334" s="44"/>
      <c r="H334" s="47"/>
      <c r="P334" s="44"/>
      <c r="Q334" s="44"/>
      <c r="U334" s="44"/>
      <c r="V334" s="44"/>
      <c r="Z334" s="44"/>
    </row>
    <row r="335" spans="2:26" x14ac:dyDescent="0.35">
      <c r="B335" s="44"/>
      <c r="C335" s="44"/>
      <c r="D335" s="44"/>
      <c r="E335" s="44"/>
      <c r="H335" s="47"/>
      <c r="P335" s="44"/>
      <c r="Q335" s="44"/>
      <c r="U335" s="44"/>
      <c r="V335" s="44"/>
      <c r="Z335" s="44"/>
    </row>
    <row r="336" spans="2:26" x14ac:dyDescent="0.35">
      <c r="B336" s="44"/>
      <c r="C336" s="44"/>
      <c r="D336" s="44"/>
      <c r="E336" s="44"/>
      <c r="H336" s="47"/>
      <c r="P336" s="44"/>
      <c r="Q336" s="44"/>
      <c r="U336" s="44"/>
      <c r="V336" s="44"/>
      <c r="Z336" s="44"/>
    </row>
    <row r="337" spans="2:26" x14ac:dyDescent="0.35">
      <c r="B337" s="44"/>
      <c r="C337" s="44"/>
      <c r="D337" s="44"/>
      <c r="E337" s="44"/>
      <c r="H337" s="47"/>
      <c r="P337" s="44"/>
      <c r="Q337" s="44"/>
      <c r="U337" s="44"/>
      <c r="V337" s="44"/>
      <c r="Z337" s="44"/>
    </row>
    <row r="338" spans="2:26" x14ac:dyDescent="0.35">
      <c r="B338" s="44"/>
      <c r="C338" s="44"/>
      <c r="D338" s="44"/>
      <c r="E338" s="44"/>
      <c r="H338" s="47"/>
      <c r="P338" s="44"/>
      <c r="Q338" s="44"/>
      <c r="U338" s="44"/>
      <c r="V338" s="44"/>
      <c r="Z338" s="44"/>
    </row>
    <row r="339" spans="2:26" x14ac:dyDescent="0.35">
      <c r="B339" s="44"/>
      <c r="C339" s="44"/>
      <c r="D339" s="44"/>
      <c r="E339" s="44"/>
      <c r="H339" s="47"/>
      <c r="P339" s="44"/>
      <c r="Q339" s="44"/>
      <c r="U339" s="44"/>
      <c r="V339" s="44"/>
      <c r="Z339" s="44"/>
    </row>
    <row r="340" spans="2:26" x14ac:dyDescent="0.35">
      <c r="B340" s="44"/>
      <c r="C340" s="44"/>
      <c r="D340" s="44"/>
      <c r="E340" s="44"/>
      <c r="H340" s="47"/>
      <c r="P340" s="44"/>
      <c r="Q340" s="44"/>
      <c r="U340" s="44"/>
      <c r="V340" s="44"/>
      <c r="Z340" s="44"/>
    </row>
    <row r="341" spans="2:26" x14ac:dyDescent="0.35">
      <c r="B341" s="44"/>
      <c r="C341" s="44"/>
      <c r="D341" s="44"/>
      <c r="E341" s="44"/>
      <c r="H341" s="47"/>
      <c r="P341" s="44"/>
      <c r="Q341" s="44"/>
      <c r="U341" s="44"/>
      <c r="V341" s="44"/>
      <c r="Z341" s="44"/>
    </row>
    <row r="342" spans="2:26" x14ac:dyDescent="0.35">
      <c r="B342" s="44"/>
      <c r="C342" s="44"/>
      <c r="D342" s="44"/>
      <c r="E342" s="44"/>
      <c r="H342" s="47"/>
      <c r="P342" s="44"/>
      <c r="Q342" s="44"/>
      <c r="U342" s="44"/>
      <c r="V342" s="44"/>
      <c r="Z342" s="44"/>
    </row>
    <row r="343" spans="2:26" x14ac:dyDescent="0.35">
      <c r="B343" s="44"/>
      <c r="C343" s="44"/>
      <c r="D343" s="44"/>
      <c r="E343" s="44"/>
      <c r="H343" s="47"/>
      <c r="P343" s="44"/>
      <c r="Q343" s="44"/>
      <c r="U343" s="44"/>
      <c r="V343" s="44"/>
      <c r="Z343" s="44"/>
    </row>
    <row r="344" spans="2:26" x14ac:dyDescent="0.35">
      <c r="B344" s="44"/>
      <c r="C344" s="44"/>
      <c r="D344" s="44"/>
      <c r="E344" s="44"/>
      <c r="H344" s="47"/>
      <c r="P344" s="44"/>
      <c r="Q344" s="44"/>
      <c r="U344" s="44"/>
      <c r="V344" s="44"/>
      <c r="Z344" s="44"/>
    </row>
    <row r="345" spans="2:26" x14ac:dyDescent="0.35">
      <c r="B345" s="44"/>
      <c r="C345" s="44"/>
      <c r="D345" s="44"/>
      <c r="E345" s="44"/>
      <c r="H345" s="47"/>
      <c r="P345" s="44"/>
      <c r="Q345" s="44"/>
      <c r="U345" s="44"/>
      <c r="V345" s="44"/>
      <c r="Z345" s="44"/>
    </row>
    <row r="346" spans="2:26" x14ac:dyDescent="0.35">
      <c r="B346" s="44"/>
      <c r="C346" s="44"/>
      <c r="D346" s="44"/>
      <c r="E346" s="44"/>
      <c r="H346" s="47"/>
      <c r="P346" s="44"/>
      <c r="Q346" s="44"/>
      <c r="U346" s="44"/>
      <c r="V346" s="44"/>
      <c r="Z346" s="44"/>
    </row>
    <row r="347" spans="2:26" x14ac:dyDescent="0.35">
      <c r="B347" s="44"/>
      <c r="C347" s="44"/>
      <c r="D347" s="44"/>
      <c r="E347" s="44"/>
      <c r="H347" s="47"/>
      <c r="P347" s="44"/>
      <c r="Q347" s="44"/>
      <c r="U347" s="44"/>
      <c r="V347" s="44"/>
      <c r="Z347" s="44"/>
    </row>
    <row r="348" spans="2:26" x14ac:dyDescent="0.35">
      <c r="B348" s="44"/>
      <c r="C348" s="44"/>
      <c r="D348" s="44"/>
      <c r="E348" s="44"/>
      <c r="H348" s="47"/>
      <c r="P348" s="44"/>
      <c r="Q348" s="44"/>
      <c r="U348" s="44"/>
      <c r="V348" s="44"/>
      <c r="Z348" s="18"/>
    </row>
    <row r="349" spans="2:26" x14ac:dyDescent="0.35">
      <c r="B349" s="44"/>
      <c r="C349" s="44"/>
      <c r="D349" s="44"/>
      <c r="E349" s="44"/>
      <c r="H349" s="47"/>
      <c r="P349" s="44"/>
      <c r="Q349" s="44"/>
      <c r="U349" s="44"/>
      <c r="V349" s="44"/>
      <c r="Z349" s="18"/>
    </row>
    <row r="350" spans="2:26" x14ac:dyDescent="0.35">
      <c r="B350" s="44"/>
      <c r="C350" s="44"/>
      <c r="D350" s="44"/>
      <c r="E350" s="44"/>
      <c r="P350" s="44"/>
      <c r="Q350" s="44"/>
      <c r="U350" s="44"/>
      <c r="V350" s="44"/>
      <c r="Z350" s="18"/>
    </row>
    <row r="351" spans="2:26" x14ac:dyDescent="0.35">
      <c r="B351" s="44"/>
      <c r="C351" s="44"/>
      <c r="D351" s="44"/>
      <c r="E351" s="44"/>
      <c r="P351" s="44"/>
      <c r="Q351" s="44"/>
      <c r="U351" s="44"/>
      <c r="V351" s="44"/>
      <c r="Z351" s="18"/>
    </row>
    <row r="352" spans="2:26" x14ac:dyDescent="0.35">
      <c r="B352" s="44"/>
      <c r="C352" s="44"/>
      <c r="D352" s="44"/>
      <c r="E352" s="44"/>
      <c r="P352" s="44"/>
      <c r="Q352" s="44"/>
      <c r="U352" s="44"/>
      <c r="V352" s="44"/>
      <c r="Z352" s="18"/>
    </row>
    <row r="353" spans="2:26" x14ac:dyDescent="0.35">
      <c r="B353" s="44"/>
      <c r="C353" s="44"/>
      <c r="D353" s="44"/>
      <c r="E353" s="44"/>
      <c r="P353" s="44"/>
      <c r="Q353" s="44"/>
      <c r="U353" s="44"/>
      <c r="V353" s="44"/>
      <c r="Z353" s="18"/>
    </row>
    <row r="354" spans="2:26" x14ac:dyDescent="0.35">
      <c r="B354" s="44"/>
      <c r="C354" s="44"/>
      <c r="D354" s="44"/>
      <c r="E354" s="44"/>
      <c r="P354" s="44"/>
      <c r="Q354" s="44"/>
      <c r="U354" s="44"/>
      <c r="V354" s="44"/>
      <c r="Z354" s="18"/>
    </row>
    <row r="355" spans="2:26" x14ac:dyDescent="0.35">
      <c r="B355" s="44"/>
      <c r="C355" s="44"/>
      <c r="D355" s="44"/>
      <c r="E355" s="44"/>
      <c r="P355" s="44"/>
      <c r="Q355" s="44"/>
      <c r="U355" s="44"/>
      <c r="V355" s="44"/>
      <c r="Z355" s="18"/>
    </row>
    <row r="356" spans="2:26" x14ac:dyDescent="0.35">
      <c r="B356" s="44"/>
      <c r="C356" s="44"/>
      <c r="D356" s="44"/>
      <c r="E356" s="44"/>
      <c r="P356" s="44"/>
      <c r="Q356" s="44"/>
      <c r="U356" s="44"/>
      <c r="V356" s="44"/>
      <c r="Z356" s="18"/>
    </row>
    <row r="357" spans="2:26" x14ac:dyDescent="0.35">
      <c r="B357" s="44"/>
      <c r="C357" s="44"/>
      <c r="D357" s="44"/>
      <c r="E357" s="44"/>
      <c r="P357" s="44"/>
      <c r="Q357" s="44"/>
      <c r="U357" s="44"/>
      <c r="V357" s="44"/>
      <c r="Z357" s="18"/>
    </row>
    <row r="358" spans="2:26" x14ac:dyDescent="0.35">
      <c r="B358" s="44"/>
      <c r="C358" s="44"/>
      <c r="D358" s="44"/>
      <c r="E358" s="44"/>
      <c r="P358" s="44"/>
      <c r="Q358" s="44"/>
      <c r="U358" s="44"/>
      <c r="V358" s="44"/>
      <c r="Z358" s="18"/>
    </row>
    <row r="359" spans="2:26" x14ac:dyDescent="0.35">
      <c r="B359" s="44"/>
      <c r="C359" s="44"/>
      <c r="D359" s="44"/>
      <c r="E359" s="44"/>
      <c r="P359" s="44"/>
      <c r="Q359" s="44"/>
      <c r="U359" s="44"/>
      <c r="V359" s="44"/>
      <c r="Z359" s="18"/>
    </row>
    <row r="360" spans="2:26" x14ac:dyDescent="0.35">
      <c r="B360" s="44"/>
      <c r="C360" s="44"/>
      <c r="D360" s="44"/>
      <c r="E360" s="44"/>
      <c r="P360" s="44"/>
      <c r="Q360" s="44"/>
      <c r="U360" s="44"/>
      <c r="V360" s="44"/>
      <c r="Z360" s="18"/>
    </row>
    <row r="361" spans="2:26" x14ac:dyDescent="0.35">
      <c r="B361" s="44"/>
      <c r="C361" s="44"/>
      <c r="D361" s="44"/>
      <c r="E361" s="44"/>
      <c r="P361" s="44"/>
      <c r="Q361" s="44"/>
      <c r="U361" s="44"/>
      <c r="V361" s="44"/>
      <c r="Z361" s="18"/>
    </row>
    <row r="362" spans="2:26" x14ac:dyDescent="0.35">
      <c r="B362" s="44"/>
      <c r="C362" s="44"/>
      <c r="D362" s="44"/>
      <c r="E362" s="44"/>
      <c r="P362" s="44"/>
      <c r="Q362" s="44"/>
      <c r="U362" s="44"/>
      <c r="V362" s="44"/>
      <c r="Z362" s="18"/>
    </row>
    <row r="363" spans="2:26" x14ac:dyDescent="0.35">
      <c r="B363" s="44"/>
      <c r="C363" s="44"/>
      <c r="D363" s="44"/>
      <c r="E363" s="44"/>
      <c r="P363" s="44"/>
      <c r="Q363" s="44"/>
      <c r="U363" s="44"/>
      <c r="V363" s="44"/>
      <c r="Z363" s="18"/>
    </row>
    <row r="364" spans="2:26" x14ac:dyDescent="0.35">
      <c r="B364" s="44"/>
      <c r="C364" s="44"/>
      <c r="D364" s="44"/>
      <c r="E364" s="44"/>
      <c r="P364" s="44"/>
      <c r="Q364" s="44"/>
      <c r="U364" s="44"/>
      <c r="V364" s="44"/>
      <c r="Z364" s="18"/>
    </row>
    <row r="365" spans="2:26" x14ac:dyDescent="0.35">
      <c r="B365" s="44"/>
      <c r="C365" s="44"/>
      <c r="D365" s="44"/>
      <c r="E365" s="44"/>
      <c r="P365" s="44"/>
      <c r="Q365" s="44"/>
      <c r="U365" s="44"/>
      <c r="V365" s="44"/>
      <c r="Z365" s="18"/>
    </row>
    <row r="366" spans="2:26" x14ac:dyDescent="0.35">
      <c r="B366" s="44"/>
      <c r="C366" s="44"/>
      <c r="D366" s="44"/>
      <c r="E366" s="44"/>
      <c r="P366" s="44"/>
      <c r="Q366" s="44"/>
      <c r="U366" s="44"/>
      <c r="V366" s="44"/>
      <c r="Z366" s="18"/>
    </row>
    <row r="367" spans="2:26" x14ac:dyDescent="0.35">
      <c r="B367" s="44"/>
      <c r="C367" s="44"/>
      <c r="D367" s="44"/>
      <c r="E367" s="44"/>
      <c r="P367" s="44"/>
      <c r="Q367" s="44"/>
      <c r="U367" s="44"/>
      <c r="V367" s="44"/>
      <c r="Z367" s="18"/>
    </row>
    <row r="368" spans="2:26" x14ac:dyDescent="0.35">
      <c r="B368" s="44"/>
      <c r="C368" s="44"/>
      <c r="D368" s="44"/>
      <c r="E368" s="44"/>
      <c r="P368" s="44"/>
      <c r="Q368" s="44"/>
      <c r="U368" s="44"/>
      <c r="V368" s="44"/>
      <c r="Z368" s="18"/>
    </row>
    <row r="369" spans="2:26" x14ac:dyDescent="0.35">
      <c r="B369" s="44"/>
      <c r="C369" s="44"/>
      <c r="D369" s="44"/>
      <c r="E369" s="44"/>
      <c r="P369" s="44"/>
      <c r="Q369" s="44"/>
      <c r="U369" s="44"/>
      <c r="V369" s="44"/>
      <c r="Z369" s="18"/>
    </row>
    <row r="370" spans="2:26" x14ac:dyDescent="0.35">
      <c r="B370" s="44"/>
      <c r="C370" s="44"/>
      <c r="D370" s="44"/>
      <c r="E370" s="44"/>
      <c r="P370" s="44"/>
      <c r="Q370" s="44"/>
      <c r="U370" s="44"/>
      <c r="V370" s="44"/>
      <c r="Z370" s="18"/>
    </row>
    <row r="371" spans="2:26" x14ac:dyDescent="0.35">
      <c r="B371" s="44"/>
      <c r="C371" s="44"/>
      <c r="D371" s="44"/>
      <c r="E371" s="44"/>
      <c r="P371" s="44"/>
      <c r="Q371" s="44"/>
      <c r="U371" s="44"/>
      <c r="V371" s="44"/>
      <c r="Z371" s="18"/>
    </row>
    <row r="372" spans="2:26" x14ac:dyDescent="0.35">
      <c r="B372" s="44"/>
      <c r="C372" s="44"/>
      <c r="D372" s="44"/>
      <c r="E372" s="44"/>
      <c r="P372" s="44"/>
      <c r="Q372" s="44"/>
      <c r="U372" s="44"/>
      <c r="V372" s="44"/>
      <c r="Z372" s="18"/>
    </row>
    <row r="373" spans="2:26" x14ac:dyDescent="0.35">
      <c r="B373" s="44"/>
      <c r="C373" s="44"/>
      <c r="D373" s="44"/>
      <c r="E373" s="44"/>
      <c r="P373" s="44"/>
      <c r="Q373" s="44"/>
      <c r="U373" s="44"/>
      <c r="V373" s="44"/>
      <c r="Z373" s="18"/>
    </row>
    <row r="374" spans="2:26" x14ac:dyDescent="0.35">
      <c r="B374" s="44"/>
      <c r="C374" s="44"/>
      <c r="D374" s="44"/>
      <c r="E374" s="44"/>
      <c r="P374" s="44"/>
      <c r="Q374" s="44"/>
      <c r="U374" s="44"/>
      <c r="V374" s="44"/>
      <c r="Z374" s="18"/>
    </row>
    <row r="375" spans="2:26" x14ac:dyDescent="0.35">
      <c r="B375" s="44"/>
      <c r="C375" s="44"/>
      <c r="D375" s="44"/>
      <c r="E375" s="44"/>
      <c r="P375" s="44"/>
      <c r="Q375" s="44"/>
      <c r="U375" s="44"/>
      <c r="V375" s="44"/>
      <c r="Z375" s="18"/>
    </row>
    <row r="376" spans="2:26" x14ac:dyDescent="0.35">
      <c r="B376" s="44"/>
      <c r="C376" s="44"/>
      <c r="D376" s="44"/>
      <c r="E376" s="44"/>
      <c r="P376" s="44"/>
      <c r="Q376" s="44"/>
      <c r="U376" s="44"/>
      <c r="V376" s="44"/>
      <c r="Z376" s="18"/>
    </row>
    <row r="377" spans="2:26" x14ac:dyDescent="0.35">
      <c r="B377" s="44"/>
      <c r="C377" s="44"/>
      <c r="D377" s="44"/>
      <c r="E377" s="44"/>
      <c r="P377" s="44"/>
      <c r="Q377" s="44"/>
      <c r="U377" s="44"/>
      <c r="V377" s="44"/>
      <c r="Z377" s="18"/>
    </row>
    <row r="378" spans="2:26" x14ac:dyDescent="0.35">
      <c r="B378" s="44"/>
      <c r="C378" s="44"/>
      <c r="D378" s="44"/>
      <c r="E378" s="44"/>
      <c r="P378" s="44"/>
      <c r="Q378" s="44"/>
      <c r="U378" s="44"/>
      <c r="V378" s="44"/>
      <c r="Z378" s="18"/>
    </row>
    <row r="379" spans="2:26" x14ac:dyDescent="0.35">
      <c r="B379" s="44"/>
      <c r="C379" s="44"/>
      <c r="D379" s="44"/>
      <c r="E379" s="44"/>
      <c r="P379" s="44"/>
      <c r="Q379" s="44"/>
      <c r="U379" s="44"/>
      <c r="V379" s="44"/>
      <c r="Z379" s="18"/>
    </row>
    <row r="380" spans="2:26" x14ac:dyDescent="0.35">
      <c r="B380" s="44"/>
      <c r="C380" s="44"/>
      <c r="D380" s="44"/>
      <c r="E380" s="44"/>
      <c r="P380" s="44"/>
      <c r="Q380" s="44"/>
      <c r="U380" s="44"/>
      <c r="V380" s="44"/>
      <c r="Z380" s="18"/>
    </row>
    <row r="381" spans="2:26" x14ac:dyDescent="0.35">
      <c r="B381" s="44"/>
      <c r="C381" s="44"/>
      <c r="D381" s="44"/>
      <c r="E381" s="44"/>
      <c r="P381" s="44"/>
      <c r="Q381" s="44"/>
      <c r="U381" s="44"/>
      <c r="V381" s="44"/>
      <c r="Z381" s="18"/>
    </row>
    <row r="382" spans="2:26" x14ac:dyDescent="0.35">
      <c r="B382" s="44"/>
      <c r="C382" s="44"/>
      <c r="D382" s="44"/>
      <c r="E382" s="44"/>
      <c r="P382" s="44"/>
      <c r="Q382" s="44"/>
      <c r="U382" s="44"/>
      <c r="V382" s="44"/>
      <c r="Z382" s="18"/>
    </row>
    <row r="383" spans="2:26" x14ac:dyDescent="0.35">
      <c r="B383" s="44"/>
      <c r="C383" s="44"/>
      <c r="D383" s="44"/>
      <c r="E383" s="44"/>
      <c r="P383" s="44"/>
      <c r="Q383" s="44"/>
      <c r="U383" s="44"/>
      <c r="V383" s="44"/>
      <c r="Z383" s="18"/>
    </row>
    <row r="384" spans="2:26" x14ac:dyDescent="0.35">
      <c r="B384" s="44"/>
      <c r="C384" s="44"/>
      <c r="D384" s="44"/>
      <c r="E384" s="44"/>
      <c r="P384" s="44"/>
      <c r="Q384" s="44"/>
      <c r="U384" s="44"/>
      <c r="V384" s="44"/>
      <c r="Z384" s="18"/>
    </row>
    <row r="385" spans="2:26" x14ac:dyDescent="0.35">
      <c r="B385" s="44"/>
      <c r="C385" s="44"/>
      <c r="D385" s="44"/>
      <c r="E385" s="44"/>
      <c r="P385" s="44"/>
      <c r="Q385" s="44"/>
      <c r="U385" s="44"/>
      <c r="V385" s="44"/>
      <c r="Z385" s="18"/>
    </row>
    <row r="386" spans="2:26" x14ac:dyDescent="0.35">
      <c r="B386" s="44"/>
      <c r="C386" s="44"/>
      <c r="D386" s="44"/>
      <c r="E386" s="44"/>
      <c r="P386" s="44"/>
      <c r="Q386" s="44"/>
      <c r="U386" s="44"/>
      <c r="V386" s="44"/>
      <c r="Z386" s="18"/>
    </row>
    <row r="387" spans="2:26" x14ac:dyDescent="0.35">
      <c r="B387" s="44"/>
      <c r="C387" s="44"/>
      <c r="D387" s="44"/>
      <c r="E387" s="44"/>
      <c r="P387" s="44"/>
      <c r="Q387" s="44"/>
      <c r="U387" s="44"/>
      <c r="V387" s="44"/>
      <c r="Z387" s="18"/>
    </row>
    <row r="388" spans="2:26" x14ac:dyDescent="0.35">
      <c r="B388" s="44"/>
      <c r="C388" s="44"/>
      <c r="D388" s="44"/>
      <c r="E388" s="44"/>
      <c r="P388" s="44"/>
      <c r="Q388" s="44"/>
      <c r="U388" s="44"/>
      <c r="V388" s="44"/>
      <c r="Z388" s="18"/>
    </row>
    <row r="389" spans="2:26" x14ac:dyDescent="0.35">
      <c r="B389" s="44"/>
      <c r="C389" s="44"/>
      <c r="D389" s="44"/>
      <c r="E389" s="44"/>
      <c r="P389" s="44"/>
      <c r="Q389" s="44"/>
      <c r="U389" s="44"/>
      <c r="V389" s="44"/>
      <c r="Z389" s="18"/>
    </row>
    <row r="390" spans="2:26" x14ac:dyDescent="0.35">
      <c r="B390" s="44"/>
      <c r="C390" s="44"/>
      <c r="D390" s="44"/>
      <c r="E390" s="44"/>
      <c r="P390" s="44"/>
      <c r="Q390" s="44"/>
      <c r="U390" s="44"/>
      <c r="V390" s="44"/>
      <c r="Z390" s="18"/>
    </row>
    <row r="391" spans="2:26" x14ac:dyDescent="0.35">
      <c r="B391" s="44"/>
      <c r="C391" s="44"/>
      <c r="D391" s="44"/>
      <c r="E391" s="44"/>
      <c r="P391" s="44"/>
      <c r="Q391" s="44"/>
      <c r="U391" s="44"/>
      <c r="V391" s="44"/>
      <c r="Z391" s="18"/>
    </row>
    <row r="392" spans="2:26" x14ac:dyDescent="0.35">
      <c r="B392" s="44"/>
      <c r="C392" s="44"/>
      <c r="D392" s="44"/>
      <c r="E392" s="44"/>
      <c r="P392" s="44"/>
      <c r="Q392" s="44"/>
      <c r="U392" s="44"/>
      <c r="V392" s="44"/>
      <c r="Z392" s="18"/>
    </row>
    <row r="393" spans="2:26" x14ac:dyDescent="0.35">
      <c r="B393" s="44"/>
      <c r="C393" s="44"/>
      <c r="D393" s="44"/>
      <c r="E393" s="44"/>
      <c r="P393" s="44"/>
      <c r="Q393" s="44"/>
      <c r="U393" s="44"/>
      <c r="V393" s="44"/>
      <c r="Z393" s="18"/>
    </row>
    <row r="394" spans="2:26" x14ac:dyDescent="0.35">
      <c r="B394" s="44"/>
      <c r="C394" s="44"/>
      <c r="D394" s="44"/>
      <c r="E394" s="44"/>
      <c r="P394" s="44"/>
      <c r="Q394" s="44"/>
      <c r="U394" s="44"/>
      <c r="V394" s="44"/>
      <c r="Z394" s="18"/>
    </row>
    <row r="395" spans="2:26" x14ac:dyDescent="0.35">
      <c r="B395" s="44"/>
      <c r="C395" s="44"/>
      <c r="D395" s="44"/>
      <c r="E395" s="44"/>
      <c r="P395" s="44"/>
      <c r="Q395" s="44"/>
      <c r="U395" s="44"/>
      <c r="V395" s="44"/>
      <c r="Z395" s="18"/>
    </row>
    <row r="396" spans="2:26" x14ac:dyDescent="0.35">
      <c r="B396" s="44"/>
      <c r="C396" s="44"/>
      <c r="D396" s="44"/>
      <c r="E396" s="44"/>
      <c r="P396" s="44"/>
      <c r="Q396" s="44"/>
      <c r="U396" s="44"/>
      <c r="V396" s="44"/>
      <c r="Z396" s="18"/>
    </row>
    <row r="397" spans="2:26" x14ac:dyDescent="0.35">
      <c r="B397" s="44"/>
      <c r="C397" s="44"/>
      <c r="D397" s="44"/>
      <c r="E397" s="44"/>
      <c r="P397" s="44"/>
      <c r="Q397" s="44"/>
      <c r="U397" s="44"/>
      <c r="V397" s="44"/>
      <c r="Z397" s="18"/>
    </row>
    <row r="398" spans="2:26" x14ac:dyDescent="0.35">
      <c r="B398" s="44"/>
      <c r="C398" s="44"/>
      <c r="D398" s="44"/>
      <c r="E398" s="44"/>
      <c r="P398" s="44"/>
      <c r="Q398" s="44"/>
      <c r="U398" s="44"/>
      <c r="V398" s="44"/>
      <c r="Z398" s="18"/>
    </row>
    <row r="399" spans="2:26" x14ac:dyDescent="0.35">
      <c r="B399" s="44"/>
      <c r="C399" s="44"/>
      <c r="D399" s="44"/>
      <c r="E399" s="44"/>
      <c r="P399" s="44"/>
      <c r="Q399" s="44"/>
      <c r="U399" s="44"/>
      <c r="V399" s="44"/>
      <c r="Z399" s="18"/>
    </row>
    <row r="400" spans="2:26" x14ac:dyDescent="0.35">
      <c r="B400" s="44"/>
      <c r="C400" s="44"/>
      <c r="D400" s="44"/>
      <c r="E400" s="44"/>
      <c r="P400" s="44"/>
      <c r="Q400" s="44"/>
      <c r="U400" s="44"/>
      <c r="V400" s="44"/>
      <c r="Z400" s="18"/>
    </row>
    <row r="401" spans="2:26" x14ac:dyDescent="0.35">
      <c r="B401" s="44"/>
      <c r="C401" s="44"/>
      <c r="D401" s="44"/>
      <c r="E401" s="44"/>
      <c r="P401" s="44"/>
      <c r="Q401" s="44"/>
      <c r="U401" s="44"/>
      <c r="V401" s="44"/>
      <c r="Z401" s="18"/>
    </row>
    <row r="402" spans="2:26" x14ac:dyDescent="0.35">
      <c r="B402" s="44"/>
      <c r="C402" s="44"/>
      <c r="D402" s="44"/>
      <c r="E402" s="44"/>
      <c r="P402" s="44"/>
      <c r="Q402" s="44"/>
      <c r="U402" s="44"/>
      <c r="V402" s="44"/>
      <c r="Z402" s="18"/>
    </row>
    <row r="403" spans="2:26" x14ac:dyDescent="0.35">
      <c r="B403" s="44"/>
      <c r="C403" s="44"/>
      <c r="D403" s="44"/>
      <c r="E403" s="44"/>
      <c r="P403" s="44"/>
      <c r="Q403" s="44"/>
      <c r="U403" s="44"/>
      <c r="V403" s="44"/>
      <c r="Z403" s="18"/>
    </row>
    <row r="404" spans="2:26" x14ac:dyDescent="0.35">
      <c r="B404" s="44"/>
      <c r="C404" s="44"/>
      <c r="D404" s="44"/>
      <c r="E404" s="44"/>
      <c r="P404" s="44"/>
      <c r="Q404" s="44"/>
      <c r="U404" s="44"/>
      <c r="V404" s="44"/>
      <c r="Z404" s="18"/>
    </row>
    <row r="405" spans="2:26" x14ac:dyDescent="0.35">
      <c r="B405" s="44"/>
      <c r="C405" s="44"/>
      <c r="D405" s="44"/>
      <c r="E405" s="44"/>
      <c r="P405" s="44"/>
      <c r="Q405" s="44"/>
      <c r="U405" s="44"/>
      <c r="V405" s="44"/>
      <c r="Z405" s="18"/>
    </row>
    <row r="406" spans="2:26" x14ac:dyDescent="0.35">
      <c r="B406" s="44"/>
      <c r="C406" s="44"/>
      <c r="D406" s="44"/>
      <c r="E406" s="44"/>
      <c r="P406" s="44"/>
      <c r="Q406" s="44"/>
      <c r="U406" s="44"/>
      <c r="V406" s="44"/>
      <c r="Z406" s="18"/>
    </row>
    <row r="407" spans="2:26" x14ac:dyDescent="0.35">
      <c r="B407" s="44"/>
      <c r="C407" s="44"/>
      <c r="D407" s="44"/>
      <c r="E407" s="44"/>
      <c r="P407" s="44"/>
      <c r="Q407" s="44"/>
      <c r="U407" s="44"/>
      <c r="V407" s="44"/>
      <c r="Z407" s="18"/>
    </row>
    <row r="408" spans="2:26" x14ac:dyDescent="0.35">
      <c r="B408" s="44"/>
      <c r="C408" s="44"/>
      <c r="D408" s="44"/>
      <c r="E408" s="44"/>
      <c r="P408" s="44"/>
      <c r="Q408" s="44"/>
      <c r="U408" s="44"/>
      <c r="V408" s="44"/>
      <c r="Z408" s="18"/>
    </row>
    <row r="409" spans="2:26" x14ac:dyDescent="0.35">
      <c r="B409" s="44"/>
      <c r="C409" s="44"/>
      <c r="D409" s="44"/>
      <c r="E409" s="44"/>
      <c r="P409" s="44"/>
      <c r="Q409" s="44"/>
      <c r="U409" s="44"/>
      <c r="V409" s="44"/>
      <c r="Z409" s="18"/>
    </row>
    <row r="410" spans="2:26" x14ac:dyDescent="0.35">
      <c r="B410" s="44"/>
      <c r="C410" s="44"/>
      <c r="D410" s="44"/>
      <c r="E410" s="44"/>
      <c r="P410" s="44"/>
      <c r="Q410" s="44"/>
      <c r="U410" s="44"/>
      <c r="V410" s="44"/>
      <c r="Z410" s="18"/>
    </row>
    <row r="411" spans="2:26" x14ac:dyDescent="0.35">
      <c r="B411" s="44"/>
      <c r="C411" s="44"/>
      <c r="D411" s="44"/>
      <c r="E411" s="44"/>
      <c r="P411" s="44"/>
      <c r="Q411" s="44"/>
      <c r="U411" s="44"/>
      <c r="V411" s="44"/>
      <c r="Z411" s="18"/>
    </row>
    <row r="412" spans="2:26" x14ac:dyDescent="0.35">
      <c r="B412" s="44"/>
      <c r="C412" s="44"/>
      <c r="D412" s="44"/>
      <c r="E412" s="44"/>
      <c r="P412" s="44"/>
      <c r="Q412" s="44"/>
      <c r="U412" s="44"/>
      <c r="V412" s="44"/>
      <c r="Z412" s="18"/>
    </row>
    <row r="413" spans="2:26" x14ac:dyDescent="0.35">
      <c r="B413" s="44"/>
      <c r="C413" s="44"/>
      <c r="D413" s="44"/>
      <c r="E413" s="44"/>
      <c r="P413" s="44"/>
      <c r="Q413" s="44"/>
      <c r="U413" s="44"/>
      <c r="V413" s="44"/>
      <c r="Z413" s="18"/>
    </row>
    <row r="414" spans="2:26" x14ac:dyDescent="0.35">
      <c r="B414" s="44"/>
      <c r="C414" s="44"/>
      <c r="D414" s="44"/>
      <c r="E414" s="44"/>
      <c r="P414" s="44"/>
      <c r="Q414" s="44"/>
      <c r="U414" s="44"/>
      <c r="V414" s="44"/>
      <c r="Z414" s="18"/>
    </row>
    <row r="415" spans="2:26" x14ac:dyDescent="0.35">
      <c r="B415" s="44"/>
      <c r="C415" s="44"/>
      <c r="D415" s="44"/>
      <c r="E415" s="44"/>
      <c r="P415" s="44"/>
      <c r="Q415" s="44"/>
      <c r="U415" s="44"/>
      <c r="V415" s="44"/>
      <c r="Z415" s="18"/>
    </row>
    <row r="416" spans="2:26" x14ac:dyDescent="0.35">
      <c r="B416" s="44"/>
      <c r="C416" s="44"/>
      <c r="D416" s="44"/>
      <c r="E416" s="44"/>
      <c r="P416" s="44"/>
      <c r="Q416" s="44"/>
      <c r="U416" s="44"/>
      <c r="V416" s="44"/>
      <c r="Z416" s="18"/>
    </row>
    <row r="417" spans="2:26" x14ac:dyDescent="0.35">
      <c r="B417" s="44"/>
      <c r="C417" s="44"/>
      <c r="D417" s="44"/>
      <c r="E417" s="44"/>
      <c r="P417" s="44"/>
      <c r="Q417" s="44"/>
      <c r="U417" s="44"/>
      <c r="V417" s="44"/>
      <c r="Z417" s="18"/>
    </row>
    <row r="418" spans="2:26" x14ac:dyDescent="0.35">
      <c r="B418" s="44"/>
      <c r="C418" s="44"/>
      <c r="D418" s="44"/>
      <c r="E418" s="44"/>
      <c r="P418" s="44"/>
      <c r="Q418" s="44"/>
      <c r="U418" s="44"/>
      <c r="V418" s="44"/>
      <c r="Z418" s="18"/>
    </row>
    <row r="419" spans="2:26" x14ac:dyDescent="0.35">
      <c r="B419" s="44"/>
      <c r="C419" s="44"/>
      <c r="D419" s="44"/>
      <c r="E419" s="44"/>
      <c r="P419" s="44"/>
      <c r="Q419" s="44"/>
      <c r="U419" s="44"/>
      <c r="V419" s="44"/>
      <c r="Z419" s="18"/>
    </row>
    <row r="420" spans="2:26" x14ac:dyDescent="0.35">
      <c r="B420" s="44"/>
      <c r="C420" s="44"/>
      <c r="D420" s="44"/>
      <c r="E420" s="44"/>
      <c r="P420" s="44"/>
      <c r="Q420" s="44"/>
      <c r="U420" s="44"/>
      <c r="V420" s="44"/>
      <c r="Z420" s="18"/>
    </row>
    <row r="421" spans="2:26" x14ac:dyDescent="0.35">
      <c r="B421" s="44"/>
      <c r="C421" s="44"/>
      <c r="D421" s="44"/>
      <c r="E421" s="44"/>
      <c r="P421" s="44"/>
      <c r="Q421" s="44"/>
      <c r="U421" s="44"/>
      <c r="V421" s="44"/>
      <c r="Z421" s="18"/>
    </row>
    <row r="422" spans="2:26" x14ac:dyDescent="0.35">
      <c r="B422" s="44"/>
      <c r="C422" s="44"/>
      <c r="D422" s="44"/>
      <c r="E422" s="44"/>
      <c r="P422" s="44"/>
      <c r="Q422" s="44"/>
      <c r="U422" s="44"/>
      <c r="V422" s="44"/>
      <c r="Z422" s="18"/>
    </row>
    <row r="423" spans="2:26" x14ac:dyDescent="0.35">
      <c r="B423" s="44"/>
      <c r="C423" s="44"/>
      <c r="D423" s="44"/>
      <c r="E423" s="44"/>
      <c r="P423" s="44"/>
      <c r="Q423" s="44"/>
      <c r="U423" s="44"/>
      <c r="V423" s="44"/>
      <c r="Z423" s="18"/>
    </row>
    <row r="424" spans="2:26" x14ac:dyDescent="0.35">
      <c r="B424" s="44"/>
      <c r="C424" s="44"/>
      <c r="D424" s="44"/>
      <c r="E424" s="44"/>
      <c r="P424" s="18"/>
      <c r="Q424" s="44"/>
      <c r="U424" s="44"/>
      <c r="V424" s="44"/>
      <c r="Z424" s="18"/>
    </row>
    <row r="425" spans="2:26" x14ac:dyDescent="0.35">
      <c r="B425" s="44"/>
      <c r="C425" s="44"/>
      <c r="D425" s="44"/>
      <c r="E425" s="44"/>
      <c r="P425" s="18"/>
      <c r="Q425" s="44"/>
      <c r="U425" s="44"/>
      <c r="V425" s="44"/>
      <c r="Z425" s="18"/>
    </row>
    <row r="426" spans="2:26" x14ac:dyDescent="0.35">
      <c r="B426" s="44"/>
      <c r="C426" s="44"/>
      <c r="D426" s="44"/>
      <c r="E426" s="44"/>
      <c r="P426" s="18"/>
      <c r="Q426" s="44"/>
      <c r="U426" s="44"/>
      <c r="V426" s="44"/>
      <c r="Z426" s="18"/>
    </row>
    <row r="427" spans="2:26" x14ac:dyDescent="0.35">
      <c r="B427" s="44"/>
      <c r="C427" s="44"/>
      <c r="D427" s="44"/>
      <c r="E427" s="44"/>
      <c r="P427" s="18"/>
      <c r="Q427" s="44"/>
      <c r="U427" s="44"/>
      <c r="V427" s="44"/>
      <c r="Z427" s="18"/>
    </row>
    <row r="428" spans="2:26" x14ac:dyDescent="0.35">
      <c r="B428" s="44"/>
      <c r="C428" s="44"/>
      <c r="D428" s="44"/>
      <c r="E428" s="44"/>
      <c r="P428" s="18"/>
      <c r="Q428" s="44"/>
      <c r="U428" s="44"/>
      <c r="V428" s="44"/>
      <c r="Z428" s="18"/>
    </row>
    <row r="429" spans="2:26" x14ac:dyDescent="0.35">
      <c r="B429" s="44"/>
      <c r="C429" s="44"/>
      <c r="D429" s="44"/>
      <c r="E429" s="44"/>
      <c r="P429" s="18"/>
      <c r="Q429" s="44"/>
      <c r="U429" s="44"/>
      <c r="V429" s="44"/>
      <c r="Z429" s="18"/>
    </row>
    <row r="430" spans="2:26" x14ac:dyDescent="0.35">
      <c r="B430" s="44"/>
      <c r="C430" s="44"/>
      <c r="D430" s="44"/>
      <c r="E430" s="44"/>
      <c r="P430" s="18"/>
      <c r="Q430" s="44"/>
      <c r="U430" s="44"/>
      <c r="V430" s="44"/>
      <c r="Z430" s="18"/>
    </row>
    <row r="431" spans="2:26" x14ac:dyDescent="0.35">
      <c r="B431" s="44"/>
      <c r="C431" s="44"/>
      <c r="D431" s="44"/>
      <c r="E431" s="44"/>
      <c r="P431" s="18"/>
      <c r="Q431" s="44"/>
      <c r="U431" s="44"/>
      <c r="V431" s="44"/>
      <c r="Z431" s="18"/>
    </row>
    <row r="432" spans="2:26" x14ac:dyDescent="0.35">
      <c r="B432" s="44"/>
      <c r="C432" s="44"/>
      <c r="D432" s="44"/>
      <c r="E432" s="44"/>
      <c r="P432" s="18"/>
      <c r="Q432" s="44"/>
      <c r="U432" s="44"/>
      <c r="V432" s="44"/>
      <c r="Z432" s="18"/>
    </row>
    <row r="433" spans="2:26" x14ac:dyDescent="0.35">
      <c r="B433" s="44"/>
      <c r="C433" s="44"/>
      <c r="D433" s="44"/>
      <c r="E433" s="44"/>
      <c r="P433" s="18"/>
      <c r="Q433" s="44"/>
      <c r="U433" s="44"/>
      <c r="V433" s="44"/>
      <c r="Z433" s="18"/>
    </row>
    <row r="434" spans="2:26" x14ac:dyDescent="0.35">
      <c r="B434" s="44"/>
      <c r="C434" s="44"/>
      <c r="D434" s="44"/>
      <c r="E434" s="44"/>
      <c r="P434" s="18"/>
      <c r="Q434" s="44"/>
      <c r="U434" s="44"/>
      <c r="V434" s="44"/>
      <c r="Z434" s="18"/>
    </row>
    <row r="435" spans="2:26" x14ac:dyDescent="0.35">
      <c r="B435" s="44"/>
      <c r="C435" s="44"/>
      <c r="D435" s="44"/>
      <c r="E435" s="44"/>
      <c r="P435" s="18"/>
      <c r="Q435" s="44"/>
      <c r="U435" s="44"/>
      <c r="V435" s="44"/>
      <c r="Z435" s="18"/>
    </row>
    <row r="436" spans="2:26" x14ac:dyDescent="0.35">
      <c r="B436" s="44"/>
      <c r="C436" s="44"/>
      <c r="D436" s="44"/>
      <c r="E436" s="44"/>
      <c r="P436" s="18"/>
      <c r="Q436" s="44"/>
      <c r="U436" s="44"/>
      <c r="V436" s="44"/>
      <c r="Z436" s="18"/>
    </row>
    <row r="437" spans="2:26" x14ac:dyDescent="0.35">
      <c r="B437" s="44"/>
      <c r="C437" s="44"/>
      <c r="D437" s="44"/>
      <c r="E437" s="44"/>
      <c r="P437" s="18"/>
      <c r="Q437" s="44"/>
      <c r="U437" s="44"/>
      <c r="V437" s="44"/>
      <c r="Z437" s="18"/>
    </row>
    <row r="438" spans="2:26" x14ac:dyDescent="0.35">
      <c r="B438" s="44"/>
      <c r="C438" s="44"/>
      <c r="D438" s="44"/>
      <c r="E438" s="44"/>
      <c r="P438" s="18"/>
      <c r="Q438" s="44"/>
      <c r="U438" s="44"/>
      <c r="V438" s="44"/>
      <c r="Z438" s="18"/>
    </row>
    <row r="439" spans="2:26" x14ac:dyDescent="0.35">
      <c r="B439" s="44"/>
      <c r="C439" s="44"/>
      <c r="D439" s="44"/>
      <c r="E439" s="44"/>
      <c r="P439" s="18"/>
      <c r="Q439" s="44"/>
      <c r="U439" s="44"/>
      <c r="V439" s="44"/>
      <c r="Z439" s="18"/>
    </row>
    <row r="440" spans="2:26" x14ac:dyDescent="0.35">
      <c r="B440" s="44"/>
      <c r="C440" s="44"/>
      <c r="D440" s="44"/>
      <c r="E440" s="44"/>
      <c r="P440" s="18"/>
      <c r="Q440" s="44"/>
      <c r="U440" s="44"/>
      <c r="V440" s="44"/>
      <c r="Z440" s="18"/>
    </row>
    <row r="441" spans="2:26" x14ac:dyDescent="0.35">
      <c r="B441" s="44"/>
      <c r="C441" s="44"/>
      <c r="D441" s="44"/>
      <c r="E441" s="44"/>
      <c r="P441" s="18"/>
      <c r="Q441" s="44"/>
      <c r="U441" s="44"/>
      <c r="V441" s="44"/>
      <c r="Z441" s="18"/>
    </row>
    <row r="442" spans="2:26" x14ac:dyDescent="0.35">
      <c r="B442" s="44"/>
      <c r="C442" s="44"/>
      <c r="D442" s="44"/>
      <c r="E442" s="44"/>
      <c r="P442" s="18"/>
      <c r="Q442" s="44"/>
      <c r="U442" s="44"/>
      <c r="V442" s="44"/>
      <c r="Z442" s="18"/>
    </row>
    <row r="443" spans="2:26" x14ac:dyDescent="0.35">
      <c r="B443" s="44"/>
      <c r="C443" s="44"/>
      <c r="D443" s="44"/>
      <c r="E443" s="44"/>
      <c r="P443" s="18"/>
      <c r="Q443" s="44"/>
      <c r="U443" s="44"/>
      <c r="V443" s="44"/>
      <c r="Z443" s="18"/>
    </row>
    <row r="444" spans="2:26" x14ac:dyDescent="0.35">
      <c r="B444" s="44"/>
      <c r="C444" s="44"/>
      <c r="D444" s="44"/>
      <c r="E444" s="44"/>
      <c r="P444" s="18"/>
      <c r="Q444" s="44"/>
      <c r="U444" s="44"/>
      <c r="V444" s="44"/>
      <c r="Z444" s="18"/>
    </row>
    <row r="445" spans="2:26" x14ac:dyDescent="0.35">
      <c r="B445" s="44"/>
      <c r="C445" s="44"/>
      <c r="D445" s="44"/>
      <c r="E445" s="44"/>
      <c r="P445" s="18"/>
      <c r="Q445" s="44"/>
      <c r="U445" s="44"/>
      <c r="V445" s="44"/>
      <c r="Z445" s="18"/>
    </row>
    <row r="446" spans="2:26" x14ac:dyDescent="0.35">
      <c r="B446" s="44"/>
      <c r="C446" s="44"/>
      <c r="D446" s="44"/>
      <c r="E446" s="44"/>
      <c r="P446" s="18"/>
      <c r="Q446" s="44"/>
      <c r="U446" s="44"/>
      <c r="V446" s="44"/>
      <c r="Z446" s="18"/>
    </row>
    <row r="447" spans="2:26" x14ac:dyDescent="0.35">
      <c r="B447" s="44"/>
      <c r="C447" s="44"/>
      <c r="D447" s="44"/>
      <c r="E447" s="44"/>
      <c r="P447" s="18"/>
      <c r="Q447" s="44"/>
      <c r="U447" s="44"/>
      <c r="V447" s="44"/>
      <c r="Z447" s="18"/>
    </row>
    <row r="448" spans="2:26" x14ac:dyDescent="0.35">
      <c r="B448" s="44"/>
      <c r="C448" s="44"/>
      <c r="D448" s="44"/>
      <c r="E448" s="44"/>
      <c r="P448" s="18"/>
      <c r="Q448" s="44"/>
      <c r="U448" s="44"/>
      <c r="V448" s="44"/>
      <c r="Z448" s="18"/>
    </row>
    <row r="449" spans="2:26" x14ac:dyDescent="0.35">
      <c r="B449" s="44"/>
      <c r="C449" s="44"/>
      <c r="D449" s="44"/>
      <c r="E449" s="44"/>
      <c r="P449" s="18"/>
      <c r="Q449" s="44"/>
      <c r="U449" s="44"/>
      <c r="V449" s="44"/>
      <c r="Z449" s="18"/>
    </row>
    <row r="450" spans="2:26" x14ac:dyDescent="0.35">
      <c r="B450" s="44"/>
      <c r="C450" s="44"/>
      <c r="D450" s="44"/>
      <c r="E450" s="44"/>
      <c r="P450" s="18"/>
      <c r="Q450" s="44"/>
      <c r="U450" s="44"/>
      <c r="V450" s="44"/>
      <c r="Z450" s="18"/>
    </row>
    <row r="451" spans="2:26" x14ac:dyDescent="0.35">
      <c r="B451" s="44"/>
      <c r="C451" s="44"/>
      <c r="D451" s="44"/>
      <c r="E451" s="44"/>
      <c r="P451" s="18"/>
      <c r="Q451" s="44"/>
      <c r="U451" s="44"/>
      <c r="V451" s="44"/>
      <c r="Z451" s="18"/>
    </row>
    <row r="452" spans="2:26" x14ac:dyDescent="0.35">
      <c r="B452" s="44"/>
      <c r="C452" s="44"/>
      <c r="D452" s="44"/>
      <c r="E452" s="44"/>
      <c r="P452" s="18"/>
      <c r="Q452" s="44"/>
      <c r="U452" s="44"/>
      <c r="V452" s="44"/>
      <c r="Z452" s="18"/>
    </row>
    <row r="453" spans="2:26" x14ac:dyDescent="0.35">
      <c r="B453" s="44"/>
      <c r="C453" s="44"/>
      <c r="D453" s="44"/>
      <c r="E453" s="44"/>
      <c r="P453" s="18"/>
      <c r="Q453" s="44"/>
      <c r="U453" s="44"/>
      <c r="V453" s="44"/>
      <c r="Z453" s="18"/>
    </row>
    <row r="454" spans="2:26" x14ac:dyDescent="0.35">
      <c r="B454" s="44"/>
      <c r="C454" s="44"/>
      <c r="D454" s="44"/>
      <c r="E454" s="44"/>
      <c r="P454" s="18"/>
      <c r="Q454" s="44"/>
      <c r="U454" s="44"/>
      <c r="V454" s="44"/>
      <c r="Z454" s="18"/>
    </row>
    <row r="455" spans="2:26" x14ac:dyDescent="0.35">
      <c r="B455" s="44"/>
      <c r="C455" s="44"/>
      <c r="D455" s="44"/>
      <c r="E455" s="44"/>
      <c r="P455" s="18"/>
      <c r="Q455" s="44"/>
      <c r="U455" s="44"/>
      <c r="V455" s="44"/>
      <c r="Z455" s="18"/>
    </row>
    <row r="456" spans="2:26" x14ac:dyDescent="0.35">
      <c r="B456" s="44"/>
      <c r="C456" s="44"/>
      <c r="D456" s="44"/>
      <c r="E456" s="44"/>
      <c r="P456" s="18"/>
      <c r="Q456" s="44"/>
      <c r="U456" s="44"/>
      <c r="V456" s="44"/>
      <c r="Z456" s="18"/>
    </row>
    <row r="457" spans="2:26" x14ac:dyDescent="0.35">
      <c r="B457" s="44"/>
      <c r="C457" s="44"/>
      <c r="D457" s="44"/>
      <c r="E457" s="44"/>
      <c r="P457" s="18"/>
      <c r="Q457" s="44"/>
      <c r="U457" s="44"/>
      <c r="V457" s="44"/>
      <c r="Z457" s="18"/>
    </row>
    <row r="458" spans="2:26" x14ac:dyDescent="0.35">
      <c r="B458" s="44"/>
      <c r="C458" s="44"/>
      <c r="D458" s="44"/>
      <c r="E458" s="44"/>
      <c r="P458" s="18"/>
      <c r="Q458" s="44"/>
      <c r="U458" s="44"/>
      <c r="V458" s="44"/>
      <c r="Z458" s="18"/>
    </row>
    <row r="459" spans="2:26" x14ac:dyDescent="0.35">
      <c r="B459" s="44"/>
      <c r="C459" s="44"/>
      <c r="D459" s="44"/>
      <c r="E459" s="44"/>
      <c r="P459" s="18"/>
      <c r="Q459" s="44"/>
      <c r="U459" s="44"/>
      <c r="V459" s="44"/>
      <c r="Z459" s="18"/>
    </row>
    <row r="460" spans="2:26" x14ac:dyDescent="0.35">
      <c r="B460" s="44"/>
      <c r="C460" s="44"/>
      <c r="D460" s="44"/>
      <c r="E460" s="44"/>
      <c r="P460" s="18"/>
      <c r="Q460" s="44"/>
      <c r="U460" s="44"/>
      <c r="V460" s="44"/>
      <c r="Z460" s="18"/>
    </row>
    <row r="461" spans="2:26" x14ac:dyDescent="0.35">
      <c r="B461" s="44"/>
      <c r="C461" s="44"/>
      <c r="D461" s="44"/>
      <c r="E461" s="44"/>
      <c r="P461" s="18"/>
      <c r="Q461" s="44"/>
      <c r="U461" s="44"/>
      <c r="V461" s="44"/>
      <c r="Z461" s="18"/>
    </row>
    <row r="462" spans="2:26" x14ac:dyDescent="0.35">
      <c r="B462" s="44"/>
      <c r="C462" s="44"/>
      <c r="D462" s="44"/>
      <c r="E462" s="44"/>
      <c r="P462" s="18"/>
      <c r="Q462" s="44"/>
      <c r="U462" s="44"/>
      <c r="V462" s="44"/>
      <c r="Z462" s="18"/>
    </row>
    <row r="463" spans="2:26" x14ac:dyDescent="0.35">
      <c r="B463" s="44"/>
      <c r="C463" s="44"/>
      <c r="D463" s="44"/>
      <c r="E463" s="44"/>
      <c r="P463" s="18"/>
      <c r="Q463" s="44"/>
      <c r="U463" s="44"/>
      <c r="V463" s="44"/>
      <c r="Z463" s="18"/>
    </row>
    <row r="464" spans="2:26" x14ac:dyDescent="0.35">
      <c r="B464" s="44"/>
      <c r="C464" s="44"/>
      <c r="D464" s="44"/>
      <c r="E464" s="44"/>
      <c r="P464" s="18"/>
      <c r="Q464" s="44"/>
      <c r="U464" s="44"/>
      <c r="V464" s="44"/>
      <c r="Z464" s="18"/>
    </row>
    <row r="465" spans="2:26" x14ac:dyDescent="0.35">
      <c r="B465" s="44"/>
      <c r="C465" s="44"/>
      <c r="D465" s="44"/>
      <c r="E465" s="44"/>
      <c r="P465" s="18"/>
      <c r="Q465" s="44"/>
      <c r="U465" s="44"/>
      <c r="V465" s="44"/>
      <c r="Z465" s="18"/>
    </row>
    <row r="466" spans="2:26" x14ac:dyDescent="0.35">
      <c r="B466" s="44"/>
      <c r="C466" s="44"/>
      <c r="D466" s="44"/>
      <c r="E466" s="44"/>
      <c r="P466" s="18"/>
      <c r="Q466" s="44"/>
      <c r="U466" s="44"/>
      <c r="V466" s="44"/>
      <c r="Z466" s="18"/>
    </row>
    <row r="467" spans="2:26" x14ac:dyDescent="0.35">
      <c r="B467" s="44"/>
      <c r="C467" s="44"/>
      <c r="D467" s="44"/>
      <c r="E467" s="44"/>
      <c r="P467" s="18"/>
      <c r="Q467" s="44"/>
      <c r="U467" s="44"/>
      <c r="V467" s="44"/>
      <c r="Z467" s="18"/>
    </row>
    <row r="468" spans="2:26" x14ac:dyDescent="0.35">
      <c r="B468" s="44"/>
      <c r="C468" s="44"/>
      <c r="D468" s="44"/>
      <c r="E468" s="44"/>
      <c r="P468" s="18"/>
      <c r="Q468" s="44"/>
      <c r="U468" s="44"/>
      <c r="V468" s="44"/>
      <c r="Z468" s="18"/>
    </row>
    <row r="469" spans="2:26" x14ac:dyDescent="0.35">
      <c r="B469" s="44"/>
      <c r="C469" s="44"/>
      <c r="D469" s="44"/>
      <c r="E469" s="44"/>
      <c r="P469" s="18"/>
      <c r="Q469" s="44"/>
      <c r="U469" s="44"/>
      <c r="V469" s="44"/>
      <c r="Z469" s="18"/>
    </row>
    <row r="470" spans="2:26" x14ac:dyDescent="0.35">
      <c r="B470" s="44"/>
      <c r="C470" s="44"/>
      <c r="D470" s="44"/>
      <c r="E470" s="44"/>
      <c r="P470" s="18"/>
      <c r="Q470" s="44"/>
      <c r="U470" s="44"/>
      <c r="V470" s="44"/>
      <c r="Z470" s="18"/>
    </row>
    <row r="471" spans="2:26" x14ac:dyDescent="0.35">
      <c r="B471" s="44"/>
      <c r="C471" s="44"/>
      <c r="D471" s="44"/>
      <c r="E471" s="44"/>
      <c r="P471" s="18"/>
      <c r="Q471" s="44"/>
      <c r="U471" s="44"/>
      <c r="V471" s="44"/>
      <c r="Z471" s="18"/>
    </row>
    <row r="472" spans="2:26" x14ac:dyDescent="0.35">
      <c r="B472" s="44"/>
      <c r="C472" s="44"/>
      <c r="D472" s="44"/>
      <c r="E472" s="44"/>
      <c r="P472" s="18"/>
      <c r="Q472" s="44"/>
      <c r="U472" s="44"/>
      <c r="V472" s="44"/>
      <c r="Z472" s="18"/>
    </row>
    <row r="473" spans="2:26" x14ac:dyDescent="0.35">
      <c r="B473" s="44"/>
      <c r="C473" s="44"/>
      <c r="D473" s="44"/>
      <c r="E473" s="44"/>
      <c r="P473" s="18"/>
      <c r="Q473" s="44"/>
      <c r="U473" s="44"/>
      <c r="V473" s="44"/>
      <c r="Z473" s="18"/>
    </row>
    <row r="474" spans="2:26" x14ac:dyDescent="0.35">
      <c r="B474" s="44"/>
      <c r="C474" s="44"/>
      <c r="D474" s="44"/>
      <c r="E474" s="44"/>
      <c r="P474" s="18"/>
      <c r="Q474" s="44"/>
      <c r="U474" s="44"/>
      <c r="V474" s="44"/>
      <c r="Z474" s="18"/>
    </row>
    <row r="475" spans="2:26" x14ac:dyDescent="0.35">
      <c r="B475" s="44"/>
      <c r="C475" s="44"/>
      <c r="D475" s="44"/>
      <c r="E475" s="44"/>
      <c r="P475" s="18"/>
      <c r="Q475" s="44"/>
      <c r="U475" s="44"/>
      <c r="V475" s="44"/>
      <c r="Z475" s="18"/>
    </row>
    <row r="476" spans="2:26" x14ac:dyDescent="0.35">
      <c r="P476" s="18"/>
      <c r="Q476" s="44"/>
      <c r="U476" s="44"/>
      <c r="V476" s="44"/>
      <c r="Z476" s="18"/>
    </row>
    <row r="477" spans="2:26" x14ac:dyDescent="0.35">
      <c r="P477" s="18"/>
      <c r="Q477" s="44"/>
      <c r="U477" s="44"/>
      <c r="V477" s="44"/>
      <c r="Z477" s="18"/>
    </row>
    <row r="478" spans="2:26" x14ac:dyDescent="0.35">
      <c r="P478" s="18"/>
      <c r="Q478" s="44"/>
      <c r="U478" s="44"/>
      <c r="V478" s="44"/>
      <c r="Z478" s="18"/>
    </row>
    <row r="479" spans="2:26" x14ac:dyDescent="0.35">
      <c r="P479" s="18"/>
      <c r="Q479" s="44"/>
      <c r="U479" s="44"/>
      <c r="V479" s="44"/>
      <c r="Z479" s="18"/>
    </row>
    <row r="480" spans="2:26" x14ac:dyDescent="0.35">
      <c r="P480" s="18"/>
      <c r="Q480" s="44"/>
      <c r="U480" s="44"/>
      <c r="V480" s="44"/>
      <c r="Z480" s="18"/>
    </row>
    <row r="481" spans="16:26" x14ac:dyDescent="0.35">
      <c r="P481" s="18"/>
      <c r="Q481" s="44"/>
      <c r="R481" s="83"/>
      <c r="S481" s="44"/>
      <c r="T481" s="44"/>
      <c r="U481" s="44"/>
      <c r="V481" s="44"/>
      <c r="Z481" s="18"/>
    </row>
    <row r="482" spans="16:26" x14ac:dyDescent="0.35">
      <c r="P482" s="18"/>
      <c r="Q482" s="44"/>
      <c r="R482" s="83"/>
      <c r="S482" s="44"/>
      <c r="T482" s="44"/>
      <c r="U482" s="44"/>
      <c r="V482" s="44"/>
      <c r="Z482" s="18"/>
    </row>
    <row r="483" spans="16:26" x14ac:dyDescent="0.35">
      <c r="P483" s="18"/>
      <c r="Q483" s="44"/>
      <c r="R483" s="83"/>
      <c r="S483" s="44"/>
      <c r="T483" s="44"/>
      <c r="U483" s="44"/>
      <c r="V483" s="44"/>
      <c r="Z483" s="18"/>
    </row>
    <row r="484" spans="16:26" x14ac:dyDescent="0.35">
      <c r="P484" s="18"/>
      <c r="Q484" s="44"/>
      <c r="R484" s="83"/>
      <c r="S484" s="44"/>
      <c r="T484" s="44"/>
      <c r="U484" s="44"/>
      <c r="V484" s="44"/>
      <c r="Z484" s="18"/>
    </row>
    <row r="485" spans="16:26" x14ac:dyDescent="0.35">
      <c r="P485" s="18"/>
      <c r="Q485" s="44"/>
      <c r="R485" s="83"/>
      <c r="S485" s="44"/>
      <c r="T485" s="44"/>
      <c r="U485" s="44"/>
      <c r="V485" s="44"/>
      <c r="Z485" s="18"/>
    </row>
    <row r="486" spans="16:26" x14ac:dyDescent="0.35">
      <c r="P486" s="18"/>
      <c r="Q486" s="44"/>
      <c r="R486" s="83"/>
      <c r="S486" s="44"/>
      <c r="T486" s="44"/>
      <c r="U486" s="44"/>
      <c r="V486" s="44"/>
      <c r="Z486" s="18"/>
    </row>
    <row r="487" spans="16:26" x14ac:dyDescent="0.35">
      <c r="P487" s="18"/>
      <c r="Q487" s="44"/>
      <c r="R487" s="83"/>
      <c r="S487" s="44"/>
      <c r="T487" s="44"/>
      <c r="U487" s="44"/>
      <c r="V487" s="44"/>
      <c r="Z487" s="18"/>
    </row>
    <row r="488" spans="16:26" x14ac:dyDescent="0.35">
      <c r="P488" s="18"/>
      <c r="Q488" s="44"/>
      <c r="R488" s="83"/>
      <c r="S488" s="44"/>
      <c r="T488" s="44"/>
      <c r="U488" s="44"/>
      <c r="V488" s="44"/>
      <c r="Z488" s="18"/>
    </row>
    <row r="489" spans="16:26" x14ac:dyDescent="0.35">
      <c r="P489" s="18"/>
      <c r="Q489" s="44"/>
      <c r="R489" s="83"/>
      <c r="S489" s="44"/>
      <c r="T489" s="44"/>
      <c r="U489" s="44"/>
      <c r="V489" s="44"/>
      <c r="Z489" s="18"/>
    </row>
    <row r="490" spans="16:26" x14ac:dyDescent="0.35">
      <c r="P490" s="18"/>
      <c r="Q490" s="44"/>
      <c r="R490" s="83"/>
      <c r="S490" s="44"/>
      <c r="T490" s="44"/>
      <c r="U490" s="44"/>
      <c r="V490" s="44"/>
      <c r="Z490" s="18"/>
    </row>
    <row r="491" spans="16:26" x14ac:dyDescent="0.35">
      <c r="P491" s="18"/>
      <c r="Q491" s="44"/>
      <c r="R491" s="83"/>
      <c r="S491" s="44"/>
      <c r="T491" s="44"/>
      <c r="U491" s="44"/>
      <c r="V491" s="44"/>
      <c r="Z491" s="18"/>
    </row>
    <row r="492" spans="16:26" x14ac:dyDescent="0.35">
      <c r="P492" s="18"/>
      <c r="Q492" s="44"/>
      <c r="R492" s="83"/>
      <c r="S492" s="44"/>
      <c r="T492" s="44"/>
      <c r="U492" s="44"/>
      <c r="V492" s="44"/>
      <c r="Z492" s="18"/>
    </row>
    <row r="493" spans="16:26" x14ac:dyDescent="0.35">
      <c r="P493" s="18"/>
      <c r="Q493" s="44"/>
      <c r="R493" s="83"/>
      <c r="S493" s="44"/>
      <c r="T493" s="44"/>
      <c r="U493" s="44"/>
      <c r="V493" s="44"/>
      <c r="Z493" s="18"/>
    </row>
    <row r="494" spans="16:26" x14ac:dyDescent="0.35">
      <c r="P494" s="18"/>
      <c r="Q494" s="44"/>
      <c r="R494" s="83"/>
      <c r="S494" s="44"/>
      <c r="T494" s="44"/>
      <c r="U494" s="44"/>
      <c r="V494" s="44"/>
      <c r="Z494" s="18"/>
    </row>
    <row r="495" spans="16:26" x14ac:dyDescent="0.35">
      <c r="P495" s="18"/>
      <c r="Q495" s="44"/>
      <c r="R495" s="83"/>
      <c r="S495" s="44"/>
      <c r="T495" s="44"/>
      <c r="U495" s="44"/>
      <c r="V495" s="44"/>
      <c r="Z495" s="18"/>
    </row>
    <row r="496" spans="16:26" x14ac:dyDescent="0.35">
      <c r="P496" s="18"/>
      <c r="Q496" s="44"/>
      <c r="R496" s="83"/>
      <c r="S496" s="44"/>
      <c r="T496" s="44"/>
      <c r="U496" s="44"/>
      <c r="V496" s="44"/>
      <c r="Z496" s="18"/>
    </row>
    <row r="497" spans="16:26" x14ac:dyDescent="0.35">
      <c r="P497" s="18"/>
      <c r="Q497" s="44"/>
      <c r="R497" s="83"/>
      <c r="S497" s="44"/>
      <c r="T497" s="44"/>
      <c r="U497" s="44"/>
      <c r="V497" s="44"/>
      <c r="Z497" s="18"/>
    </row>
    <row r="498" spans="16:26" x14ac:dyDescent="0.35">
      <c r="P498" s="18"/>
      <c r="Q498" s="44"/>
      <c r="R498" s="83"/>
      <c r="S498" s="44"/>
      <c r="T498" s="44"/>
      <c r="U498" s="44"/>
      <c r="V498" s="44"/>
      <c r="Z498" s="18"/>
    </row>
    <row r="499" spans="16:26" x14ac:dyDescent="0.35">
      <c r="P499" s="18"/>
      <c r="Q499" s="44"/>
      <c r="R499" s="83"/>
      <c r="S499" s="44"/>
      <c r="T499" s="44"/>
      <c r="U499" s="44"/>
      <c r="V499" s="44"/>
      <c r="Z499" s="18"/>
    </row>
    <row r="500" spans="16:26" x14ac:dyDescent="0.35">
      <c r="P500" s="18"/>
      <c r="Q500" s="44"/>
      <c r="R500" s="83"/>
      <c r="S500" s="44"/>
      <c r="T500" s="44"/>
      <c r="U500" s="44"/>
      <c r="V500" s="44"/>
      <c r="Z500" s="18"/>
    </row>
    <row r="501" spans="16:26" x14ac:dyDescent="0.35">
      <c r="P501" s="18"/>
      <c r="Q501" s="44"/>
      <c r="R501" s="83"/>
      <c r="S501" s="44"/>
      <c r="T501" s="44"/>
      <c r="U501" s="44"/>
      <c r="V501" s="44"/>
      <c r="Z501" s="18"/>
    </row>
    <row r="502" spans="16:26" x14ac:dyDescent="0.35">
      <c r="P502" s="18"/>
      <c r="Q502" s="44"/>
      <c r="R502" s="83"/>
      <c r="S502" s="44"/>
      <c r="T502" s="44"/>
      <c r="U502" s="44"/>
      <c r="V502" s="44"/>
      <c r="Z502" s="18"/>
    </row>
    <row r="503" spans="16:26" x14ac:dyDescent="0.35">
      <c r="P503" s="18"/>
      <c r="Q503" s="44"/>
      <c r="R503" s="83"/>
      <c r="S503" s="44"/>
      <c r="T503" s="44"/>
      <c r="U503" s="44"/>
      <c r="V503" s="44"/>
      <c r="Z503" s="18"/>
    </row>
    <row r="504" spans="16:26" x14ac:dyDescent="0.35">
      <c r="P504" s="18"/>
      <c r="Q504" s="44"/>
      <c r="R504" s="83"/>
      <c r="S504" s="44"/>
      <c r="T504" s="44"/>
      <c r="U504" s="44"/>
      <c r="V504" s="44"/>
      <c r="Z504" s="18"/>
    </row>
    <row r="505" spans="16:26" x14ac:dyDescent="0.35">
      <c r="P505" s="18"/>
      <c r="Q505" s="44"/>
      <c r="R505" s="83"/>
      <c r="S505" s="44"/>
      <c r="T505" s="44"/>
      <c r="U505" s="44"/>
      <c r="V505" s="44"/>
      <c r="Z505" s="18"/>
    </row>
    <row r="506" spans="16:26" x14ac:dyDescent="0.35">
      <c r="P506" s="18"/>
      <c r="Q506" s="44"/>
      <c r="R506" s="83"/>
      <c r="S506" s="44"/>
      <c r="T506" s="44"/>
      <c r="U506" s="44"/>
      <c r="V506" s="44"/>
      <c r="Z506" s="18"/>
    </row>
    <row r="507" spans="16:26" x14ac:dyDescent="0.35">
      <c r="P507" s="18"/>
      <c r="Q507" s="44"/>
      <c r="R507" s="83"/>
      <c r="S507" s="44"/>
      <c r="T507" s="44"/>
      <c r="U507" s="44"/>
      <c r="V507" s="44"/>
      <c r="Z507" s="18"/>
    </row>
    <row r="508" spans="16:26" x14ac:dyDescent="0.35">
      <c r="P508" s="18"/>
      <c r="Q508" s="44"/>
      <c r="R508" s="83"/>
      <c r="S508" s="44"/>
      <c r="T508" s="44"/>
      <c r="U508" s="44"/>
      <c r="V508" s="44"/>
      <c r="Z508" s="18"/>
    </row>
    <row r="509" spans="16:26" x14ac:dyDescent="0.35">
      <c r="P509" s="18"/>
      <c r="Q509" s="44"/>
      <c r="R509" s="83"/>
      <c r="S509" s="44"/>
      <c r="T509" s="44"/>
      <c r="U509" s="44"/>
      <c r="V509" s="44"/>
      <c r="Z509" s="18"/>
    </row>
    <row r="510" spans="16:26" x14ac:dyDescent="0.35">
      <c r="P510" s="18"/>
      <c r="Q510" s="44"/>
      <c r="R510" s="83"/>
      <c r="S510" s="44"/>
      <c r="T510" s="44"/>
      <c r="U510" s="44"/>
      <c r="V510" s="44"/>
      <c r="Z510" s="18"/>
    </row>
    <row r="511" spans="16:26" x14ac:dyDescent="0.35">
      <c r="P511" s="18"/>
      <c r="Q511" s="44"/>
      <c r="R511" s="83"/>
      <c r="S511" s="44"/>
      <c r="T511" s="44"/>
      <c r="U511" s="44"/>
      <c r="V511" s="44"/>
      <c r="Z511" s="18"/>
    </row>
    <row r="512" spans="16:26" x14ac:dyDescent="0.35">
      <c r="P512" s="18"/>
      <c r="Q512" s="44"/>
      <c r="R512" s="83"/>
      <c r="S512" s="44"/>
      <c r="T512" s="44"/>
      <c r="U512" s="44"/>
      <c r="V512" s="44"/>
      <c r="Z512" s="18"/>
    </row>
    <row r="513" spans="16:26" x14ac:dyDescent="0.35">
      <c r="P513" s="18"/>
      <c r="Q513" s="44"/>
      <c r="R513" s="83"/>
      <c r="S513" s="44"/>
      <c r="T513" s="44"/>
      <c r="U513" s="18"/>
      <c r="Z513" s="18"/>
    </row>
    <row r="514" spans="16:26" x14ac:dyDescent="0.35">
      <c r="P514" s="18"/>
      <c r="Q514" s="44"/>
      <c r="R514" s="83"/>
      <c r="S514" s="44"/>
      <c r="T514" s="44"/>
      <c r="U514" s="18"/>
      <c r="Z514" s="18"/>
    </row>
    <row r="515" spans="16:26" x14ac:dyDescent="0.35">
      <c r="P515" s="18"/>
      <c r="Q515" s="44"/>
      <c r="R515" s="83"/>
      <c r="S515" s="44"/>
      <c r="T515" s="44"/>
      <c r="U515" s="18"/>
      <c r="Z515" s="18"/>
    </row>
    <row r="516" spans="16:26" x14ac:dyDescent="0.35">
      <c r="P516" s="18"/>
      <c r="Q516" s="44"/>
      <c r="R516" s="83"/>
      <c r="S516" s="44"/>
      <c r="T516" s="44"/>
      <c r="U516" s="18"/>
      <c r="Z516" s="18"/>
    </row>
    <row r="517" spans="16:26" x14ac:dyDescent="0.35">
      <c r="P517" s="18"/>
      <c r="Q517" s="44"/>
      <c r="R517" s="83"/>
      <c r="S517" s="44"/>
      <c r="T517" s="44"/>
      <c r="U517" s="18"/>
      <c r="Z517" s="18"/>
    </row>
    <row r="518" spans="16:26" x14ac:dyDescent="0.35">
      <c r="P518" s="18"/>
      <c r="Q518" s="44"/>
      <c r="R518" s="83"/>
      <c r="S518" s="44"/>
      <c r="T518" s="44"/>
      <c r="U518" s="18"/>
      <c r="Z518" s="18"/>
    </row>
    <row r="519" spans="16:26" x14ac:dyDescent="0.35">
      <c r="P519" s="18"/>
      <c r="Q519" s="44"/>
      <c r="R519" s="83"/>
      <c r="S519" s="44"/>
      <c r="T519" s="44"/>
      <c r="U519" s="18"/>
      <c r="Z519" s="18"/>
    </row>
    <row r="520" spans="16:26" x14ac:dyDescent="0.35">
      <c r="P520" s="18"/>
      <c r="Q520" s="44"/>
      <c r="R520" s="83"/>
      <c r="S520" s="44"/>
      <c r="T520" s="44"/>
      <c r="U520" s="18"/>
      <c r="Z520" s="18"/>
    </row>
    <row r="521" spans="16:26" x14ac:dyDescent="0.35">
      <c r="P521" s="18"/>
      <c r="Q521" s="44"/>
      <c r="R521" s="83"/>
      <c r="S521" s="44"/>
      <c r="T521" s="44"/>
      <c r="U521" s="18"/>
      <c r="Z521" s="18"/>
    </row>
    <row r="522" spans="16:26" x14ac:dyDescent="0.35">
      <c r="P522" s="18"/>
      <c r="Q522" s="44"/>
      <c r="R522" s="83"/>
      <c r="S522" s="44"/>
      <c r="T522" s="44"/>
      <c r="U522" s="18"/>
      <c r="Z522" s="18"/>
    </row>
    <row r="523" spans="16:26" x14ac:dyDescent="0.35">
      <c r="P523" s="18"/>
      <c r="Q523" s="44"/>
      <c r="R523" s="83"/>
      <c r="S523" s="44"/>
      <c r="T523" s="44"/>
      <c r="U523" s="18"/>
      <c r="Z523" s="18"/>
    </row>
    <row r="524" spans="16:26" x14ac:dyDescent="0.35">
      <c r="P524" s="18"/>
      <c r="Q524" s="44"/>
      <c r="R524" s="83"/>
      <c r="S524" s="44"/>
      <c r="T524" s="44"/>
      <c r="U524" s="18"/>
      <c r="Z524" s="18"/>
    </row>
    <row r="525" spans="16:26" x14ac:dyDescent="0.35">
      <c r="P525" s="18"/>
      <c r="Q525" s="44"/>
      <c r="R525" s="83"/>
      <c r="S525" s="44"/>
      <c r="T525" s="44"/>
      <c r="U525" s="18"/>
      <c r="Z525" s="18"/>
    </row>
    <row r="526" spans="16:26" x14ac:dyDescent="0.35">
      <c r="P526" s="18"/>
      <c r="Q526" s="44"/>
      <c r="R526" s="83"/>
      <c r="S526" s="44"/>
      <c r="T526" s="44"/>
      <c r="U526" s="18"/>
      <c r="Z526" s="18"/>
    </row>
    <row r="527" spans="16:26" x14ac:dyDescent="0.35">
      <c r="P527" s="18"/>
      <c r="Q527" s="44"/>
      <c r="R527" s="83"/>
      <c r="S527" s="44"/>
      <c r="T527" s="44"/>
      <c r="U527" s="18"/>
      <c r="Z527" s="18"/>
    </row>
    <row r="528" spans="16:26" x14ac:dyDescent="0.35">
      <c r="P528" s="18"/>
      <c r="Q528" s="44"/>
      <c r="R528" s="83"/>
      <c r="S528" s="44"/>
      <c r="T528" s="44"/>
      <c r="U528" s="18"/>
      <c r="Z528" s="18"/>
    </row>
    <row r="529" spans="9:26" x14ac:dyDescent="0.35">
      <c r="P529" s="18"/>
      <c r="Q529" s="44"/>
      <c r="R529" s="83"/>
      <c r="S529" s="44"/>
      <c r="T529" s="44"/>
      <c r="U529" s="18"/>
      <c r="Z529" s="18"/>
    </row>
    <row r="530" spans="9:26" x14ac:dyDescent="0.35">
      <c r="P530" s="18"/>
      <c r="Q530" s="44"/>
      <c r="R530" s="83"/>
      <c r="S530" s="44"/>
      <c r="T530" s="44"/>
      <c r="U530" s="18"/>
      <c r="Z530" s="18"/>
    </row>
    <row r="531" spans="9:26" x14ac:dyDescent="0.35">
      <c r="P531" s="18"/>
      <c r="Q531" s="44"/>
      <c r="R531" s="83"/>
      <c r="S531" s="44"/>
      <c r="T531" s="44"/>
      <c r="U531" s="18"/>
      <c r="Z531" s="18"/>
    </row>
    <row r="532" spans="9:26" x14ac:dyDescent="0.35">
      <c r="P532" s="18"/>
      <c r="Q532" s="44"/>
      <c r="R532" s="83"/>
      <c r="S532" s="44"/>
      <c r="T532" s="44"/>
      <c r="U532" s="18"/>
      <c r="Z532" s="18"/>
    </row>
    <row r="533" spans="9:26" x14ac:dyDescent="0.35">
      <c r="P533" s="18"/>
      <c r="Q533" s="44"/>
      <c r="R533" s="83"/>
      <c r="S533" s="44"/>
      <c r="T533" s="44"/>
      <c r="U533" s="18"/>
      <c r="Z533" s="18"/>
    </row>
    <row r="534" spans="9:26" x14ac:dyDescent="0.35">
      <c r="P534" s="18"/>
      <c r="Q534" s="44"/>
      <c r="R534" s="83"/>
      <c r="S534" s="44"/>
      <c r="T534" s="44"/>
      <c r="U534" s="18"/>
      <c r="Z534" s="18"/>
    </row>
    <row r="535" spans="9:26" x14ac:dyDescent="0.35">
      <c r="P535" s="18"/>
      <c r="Q535" s="44"/>
      <c r="R535" s="83"/>
      <c r="S535" s="44"/>
      <c r="T535" s="44"/>
      <c r="U535" s="18"/>
      <c r="Z535" s="18"/>
    </row>
    <row r="536" spans="9:26" x14ac:dyDescent="0.35">
      <c r="P536" s="18"/>
      <c r="Q536" s="44"/>
      <c r="R536" s="83"/>
      <c r="S536" s="44"/>
      <c r="T536" s="44"/>
      <c r="U536" s="18"/>
      <c r="Z536" s="18"/>
    </row>
    <row r="537" spans="9:26" x14ac:dyDescent="0.35">
      <c r="P537" s="18"/>
      <c r="Q537" s="44"/>
      <c r="R537" s="83"/>
      <c r="S537" s="44"/>
      <c r="T537" s="44"/>
      <c r="U537" s="18"/>
      <c r="Z537" s="18"/>
    </row>
    <row r="538" spans="9:26" x14ac:dyDescent="0.35">
      <c r="P538" s="18"/>
      <c r="Q538" s="44"/>
      <c r="R538" s="83"/>
      <c r="S538" s="44"/>
      <c r="T538" s="44"/>
      <c r="U538" s="18"/>
      <c r="Z538" s="18"/>
    </row>
    <row r="539" spans="9:26" x14ac:dyDescent="0.35">
      <c r="I539" s="44"/>
      <c r="P539" s="18"/>
      <c r="Q539" s="44"/>
      <c r="R539" s="83"/>
      <c r="S539" s="44"/>
      <c r="T539" s="44"/>
      <c r="U539" s="18"/>
      <c r="Z539" s="18"/>
    </row>
    <row r="540" spans="9:26" x14ac:dyDescent="0.35">
      <c r="I540" s="44"/>
      <c r="P540" s="18"/>
      <c r="Q540" s="44"/>
      <c r="R540" s="83"/>
      <c r="S540" s="44"/>
      <c r="T540" s="44"/>
      <c r="U540" s="18"/>
      <c r="Z540" s="18"/>
    </row>
    <row r="541" spans="9:26" x14ac:dyDescent="0.35">
      <c r="I541" s="44"/>
      <c r="P541" s="18"/>
      <c r="Q541" s="44"/>
      <c r="R541" s="83"/>
      <c r="S541" s="44"/>
      <c r="T541" s="44"/>
      <c r="U541" s="18"/>
      <c r="Z541" s="18"/>
    </row>
    <row r="542" spans="9:26" x14ac:dyDescent="0.35">
      <c r="I542" s="44"/>
      <c r="P542" s="18"/>
      <c r="Q542" s="44"/>
      <c r="R542" s="83"/>
      <c r="S542" s="44"/>
      <c r="T542" s="44"/>
      <c r="U542" s="18"/>
      <c r="Z542" s="18"/>
    </row>
    <row r="543" spans="9:26" x14ac:dyDescent="0.35">
      <c r="I543" s="44"/>
      <c r="P543" s="18"/>
      <c r="Q543" s="44"/>
      <c r="R543" s="83"/>
      <c r="S543" s="44"/>
      <c r="T543" s="44"/>
      <c r="U543" s="18"/>
      <c r="Z543" s="18"/>
    </row>
    <row r="544" spans="9:26" x14ac:dyDescent="0.35">
      <c r="I544" s="44"/>
      <c r="P544" s="18"/>
      <c r="Q544" s="44"/>
      <c r="R544" s="83"/>
      <c r="S544" s="44"/>
      <c r="T544" s="44"/>
      <c r="U544" s="18"/>
      <c r="Z544" s="18"/>
    </row>
    <row r="545" spans="9:26" x14ac:dyDescent="0.35">
      <c r="I545" s="44"/>
      <c r="P545" s="18"/>
      <c r="Q545" s="44"/>
      <c r="R545" s="83"/>
      <c r="S545" s="44"/>
      <c r="T545" s="44"/>
      <c r="U545" s="18"/>
      <c r="Z545" s="18"/>
    </row>
    <row r="546" spans="9:26" x14ac:dyDescent="0.35">
      <c r="I546" s="44"/>
      <c r="P546" s="18"/>
      <c r="Q546" s="44"/>
      <c r="R546" s="83"/>
      <c r="S546" s="44"/>
      <c r="T546" s="44"/>
      <c r="U546" s="18"/>
      <c r="Z546" s="18"/>
    </row>
    <row r="547" spans="9:26" x14ac:dyDescent="0.35">
      <c r="I547" s="44"/>
      <c r="P547" s="18"/>
      <c r="Q547" s="44"/>
      <c r="R547" s="83"/>
      <c r="S547" s="44"/>
      <c r="T547" s="44"/>
      <c r="U547" s="18"/>
      <c r="Z547" s="18"/>
    </row>
    <row r="548" spans="9:26" x14ac:dyDescent="0.35">
      <c r="I548" s="44"/>
      <c r="P548" s="18"/>
      <c r="Q548" s="44"/>
      <c r="R548" s="83"/>
      <c r="S548" s="44"/>
      <c r="T548" s="44"/>
      <c r="U548" s="18"/>
      <c r="Z548" s="18"/>
    </row>
    <row r="549" spans="9:26" x14ac:dyDescent="0.35">
      <c r="I549" s="44"/>
      <c r="P549" s="18"/>
      <c r="Q549" s="44"/>
      <c r="R549" s="83"/>
      <c r="S549" s="44"/>
      <c r="T549" s="44"/>
      <c r="U549" s="18"/>
      <c r="Z549" s="18"/>
    </row>
    <row r="550" spans="9:26" x14ac:dyDescent="0.35">
      <c r="I550" s="44"/>
      <c r="P550" s="18"/>
      <c r="Q550" s="44"/>
      <c r="R550" s="83"/>
      <c r="S550" s="44"/>
      <c r="T550" s="44"/>
      <c r="U550" s="18"/>
      <c r="Z550" s="18"/>
    </row>
    <row r="551" spans="9:26" x14ac:dyDescent="0.35">
      <c r="I551" s="44"/>
      <c r="P551" s="18"/>
      <c r="Q551" s="44"/>
      <c r="R551" s="83"/>
      <c r="S551" s="44"/>
      <c r="T551" s="44"/>
      <c r="U551" s="18"/>
      <c r="Z551" s="18"/>
    </row>
    <row r="552" spans="9:26" x14ac:dyDescent="0.35">
      <c r="I552" s="44"/>
      <c r="P552" s="18"/>
      <c r="Q552" s="44"/>
      <c r="R552" s="83"/>
      <c r="S552" s="44"/>
      <c r="T552" s="44"/>
      <c r="U552" s="18"/>
      <c r="Z552" s="18"/>
    </row>
    <row r="553" spans="9:26" x14ac:dyDescent="0.35">
      <c r="I553" s="44"/>
      <c r="P553" s="18"/>
      <c r="Q553" s="44"/>
      <c r="R553" s="83"/>
      <c r="S553" s="44"/>
      <c r="T553" s="44"/>
      <c r="U553" s="18"/>
      <c r="Z553" s="18"/>
    </row>
    <row r="554" spans="9:26" x14ac:dyDescent="0.35">
      <c r="I554" s="44"/>
      <c r="P554" s="18"/>
      <c r="Q554" s="44"/>
      <c r="R554" s="83"/>
      <c r="S554" s="44"/>
      <c r="T554" s="44"/>
      <c r="U554" s="18"/>
      <c r="Z554" s="18"/>
    </row>
    <row r="555" spans="9:26" x14ac:dyDescent="0.35">
      <c r="I555" s="44"/>
      <c r="P555" s="18"/>
      <c r="Q555" s="44"/>
      <c r="R555" s="83"/>
      <c r="S555" s="44"/>
      <c r="T555" s="44"/>
      <c r="U555" s="18"/>
      <c r="Z555" s="18"/>
    </row>
    <row r="556" spans="9:26" x14ac:dyDescent="0.35">
      <c r="I556" s="44"/>
      <c r="P556" s="18"/>
      <c r="Q556" s="44"/>
      <c r="R556" s="83"/>
      <c r="S556" s="44"/>
      <c r="T556" s="44"/>
      <c r="U556" s="18"/>
      <c r="Z556" s="18"/>
    </row>
    <row r="557" spans="9:26" x14ac:dyDescent="0.35">
      <c r="I557" s="44"/>
      <c r="P557" s="18"/>
      <c r="Q557" s="44"/>
      <c r="R557" s="83"/>
      <c r="S557" s="44"/>
      <c r="T557" s="44"/>
      <c r="U557" s="18"/>
      <c r="Z557" s="18"/>
    </row>
    <row r="558" spans="9:26" x14ac:dyDescent="0.35">
      <c r="I558" s="44"/>
      <c r="P558" s="18"/>
      <c r="Q558" s="44"/>
      <c r="R558" s="83"/>
      <c r="S558" s="44"/>
      <c r="T558" s="44"/>
      <c r="U558" s="18"/>
      <c r="Z558" s="18"/>
    </row>
    <row r="559" spans="9:26" x14ac:dyDescent="0.35">
      <c r="I559" s="44"/>
      <c r="P559" s="18"/>
      <c r="Q559" s="44"/>
      <c r="R559" s="83"/>
      <c r="S559" s="44"/>
      <c r="T559" s="44"/>
      <c r="U559" s="18"/>
      <c r="Z559" s="18"/>
    </row>
    <row r="560" spans="9:26" x14ac:dyDescent="0.35">
      <c r="I560" s="44"/>
      <c r="P560" s="18"/>
      <c r="Q560" s="44"/>
      <c r="R560" s="83"/>
      <c r="S560" s="44"/>
      <c r="T560" s="44"/>
      <c r="U560" s="18"/>
      <c r="Z560" s="18"/>
    </row>
    <row r="561" spans="9:26" x14ac:dyDescent="0.35">
      <c r="I561" s="44"/>
      <c r="P561" s="18"/>
      <c r="Q561" s="44"/>
      <c r="R561" s="83"/>
      <c r="S561" s="44"/>
      <c r="T561" s="44"/>
      <c r="U561" s="18"/>
      <c r="Z561" s="18"/>
    </row>
    <row r="562" spans="9:26" x14ac:dyDescent="0.35">
      <c r="I562" s="44"/>
      <c r="P562" s="18"/>
      <c r="Q562" s="44"/>
      <c r="R562" s="83"/>
      <c r="S562" s="44"/>
      <c r="T562" s="44"/>
      <c r="U562" s="18"/>
      <c r="Z562" s="18"/>
    </row>
    <row r="563" spans="9:26" x14ac:dyDescent="0.35">
      <c r="I563" s="44"/>
      <c r="P563" s="18"/>
      <c r="Q563" s="44"/>
      <c r="R563" s="83"/>
      <c r="S563" s="44"/>
      <c r="T563" s="44"/>
      <c r="U563" s="18"/>
      <c r="Z563" s="18"/>
    </row>
    <row r="564" spans="9:26" x14ac:dyDescent="0.35">
      <c r="I564" s="44"/>
      <c r="P564" s="18"/>
      <c r="Q564" s="44"/>
      <c r="R564" s="83"/>
      <c r="S564" s="44"/>
      <c r="T564" s="44"/>
      <c r="U564" s="18"/>
      <c r="Z564" s="18"/>
    </row>
    <row r="565" spans="9:26" x14ac:dyDescent="0.35">
      <c r="I565" s="44"/>
      <c r="P565" s="18"/>
      <c r="Q565" s="44"/>
      <c r="R565" s="83"/>
      <c r="S565" s="44"/>
      <c r="T565" s="44"/>
      <c r="U565" s="18"/>
      <c r="Z565" s="18"/>
    </row>
    <row r="566" spans="9:26" x14ac:dyDescent="0.35">
      <c r="I566" s="44"/>
      <c r="P566" s="18"/>
      <c r="Q566" s="44"/>
      <c r="R566" s="83"/>
      <c r="S566" s="44"/>
      <c r="T566" s="44"/>
      <c r="U566" s="18"/>
      <c r="Z566" s="18"/>
    </row>
    <row r="567" spans="9:26" x14ac:dyDescent="0.35">
      <c r="I567" s="44"/>
      <c r="P567" s="18"/>
      <c r="Q567" s="44"/>
      <c r="R567" s="83"/>
      <c r="S567" s="44"/>
      <c r="T567" s="44"/>
      <c r="U567" s="18"/>
      <c r="Z567" s="18"/>
    </row>
    <row r="568" spans="9:26" x14ac:dyDescent="0.35">
      <c r="I568" s="44"/>
      <c r="P568" s="18"/>
      <c r="Q568" s="44"/>
      <c r="R568" s="83"/>
      <c r="S568" s="44"/>
      <c r="T568" s="44"/>
      <c r="U568" s="18"/>
      <c r="Z568" s="18"/>
    </row>
    <row r="569" spans="9:26" x14ac:dyDescent="0.35">
      <c r="I569" s="44"/>
      <c r="P569" s="18"/>
      <c r="Q569" s="44"/>
      <c r="R569" s="83"/>
      <c r="S569" s="44"/>
      <c r="T569" s="44"/>
      <c r="U569" s="18"/>
      <c r="Z569" s="18"/>
    </row>
    <row r="570" spans="9:26" x14ac:dyDescent="0.35">
      <c r="I570" s="44"/>
      <c r="P570" s="18"/>
      <c r="Q570" s="44"/>
      <c r="R570" s="83"/>
      <c r="S570" s="44"/>
      <c r="T570" s="44"/>
      <c r="U570" s="18"/>
      <c r="Z570" s="18"/>
    </row>
    <row r="571" spans="9:26" x14ac:dyDescent="0.35">
      <c r="I571" s="44"/>
      <c r="P571" s="18"/>
      <c r="Q571" s="44"/>
      <c r="R571" s="83"/>
      <c r="S571" s="44"/>
      <c r="T571" s="44"/>
      <c r="U571" s="18"/>
      <c r="Z571" s="18"/>
    </row>
    <row r="572" spans="9:26" x14ac:dyDescent="0.35">
      <c r="I572" s="44"/>
      <c r="P572" s="18"/>
      <c r="Q572" s="44"/>
      <c r="R572" s="83"/>
      <c r="S572" s="44"/>
      <c r="T572" s="44"/>
      <c r="U572" s="18"/>
      <c r="Z572" s="18"/>
    </row>
    <row r="573" spans="9:26" x14ac:dyDescent="0.35">
      <c r="I573" s="44"/>
      <c r="P573" s="18"/>
      <c r="Q573" s="44"/>
      <c r="R573" s="83"/>
      <c r="S573" s="44"/>
      <c r="T573" s="44"/>
      <c r="U573" s="18"/>
      <c r="Z573" s="18"/>
    </row>
    <row r="574" spans="9:26" x14ac:dyDescent="0.35">
      <c r="I574" s="44"/>
      <c r="P574" s="18"/>
      <c r="Q574" s="44"/>
      <c r="R574" s="83"/>
      <c r="S574" s="44"/>
      <c r="T574" s="44"/>
      <c r="U574" s="18"/>
      <c r="Z574" s="18"/>
    </row>
    <row r="575" spans="9:26" x14ac:dyDescent="0.35">
      <c r="I575" s="44"/>
      <c r="P575" s="18"/>
      <c r="Q575" s="44"/>
      <c r="R575" s="83"/>
      <c r="S575" s="44"/>
      <c r="T575" s="44"/>
      <c r="U575" s="18"/>
      <c r="Z575" s="18"/>
    </row>
    <row r="576" spans="9:26" x14ac:dyDescent="0.35">
      <c r="I576" s="44"/>
      <c r="P576" s="18"/>
      <c r="Q576" s="44"/>
      <c r="R576" s="83"/>
      <c r="S576" s="44"/>
      <c r="T576" s="44"/>
      <c r="U576" s="18"/>
      <c r="Z576" s="18"/>
    </row>
    <row r="577" spans="9:26" x14ac:dyDescent="0.35">
      <c r="I577" s="44"/>
      <c r="P577" s="18"/>
      <c r="Q577" s="44"/>
      <c r="R577" s="83"/>
      <c r="S577" s="44"/>
      <c r="T577" s="44"/>
      <c r="U577" s="18"/>
      <c r="Z577" s="18"/>
    </row>
    <row r="578" spans="9:26" x14ac:dyDescent="0.35">
      <c r="I578" s="44"/>
      <c r="P578" s="18"/>
      <c r="Q578" s="44"/>
      <c r="R578" s="83"/>
      <c r="S578" s="44"/>
      <c r="T578" s="44"/>
      <c r="U578" s="18"/>
      <c r="Z578" s="18"/>
    </row>
    <row r="579" spans="9:26" x14ac:dyDescent="0.35">
      <c r="I579" s="44"/>
      <c r="P579" s="18"/>
      <c r="Q579" s="44"/>
      <c r="R579" s="83"/>
      <c r="S579" s="44"/>
      <c r="T579" s="44"/>
      <c r="U579" s="18"/>
      <c r="Z579" s="18"/>
    </row>
    <row r="580" spans="9:26" x14ac:dyDescent="0.35">
      <c r="I580" s="44"/>
      <c r="P580" s="18"/>
      <c r="Q580" s="44"/>
      <c r="R580" s="83"/>
      <c r="S580" s="44"/>
      <c r="T580" s="44"/>
      <c r="U580" s="18"/>
      <c r="Z580" s="18"/>
    </row>
    <row r="581" spans="9:26" x14ac:dyDescent="0.35">
      <c r="I581" s="44"/>
      <c r="P581" s="18"/>
      <c r="Q581" s="44"/>
      <c r="R581" s="83"/>
      <c r="S581" s="44"/>
      <c r="T581" s="44"/>
      <c r="U581" s="18"/>
      <c r="Z581" s="18"/>
    </row>
    <row r="582" spans="9:26" x14ac:dyDescent="0.35">
      <c r="I582" s="44"/>
      <c r="P582" s="18"/>
      <c r="Q582" s="44"/>
      <c r="R582" s="83"/>
      <c r="S582" s="44"/>
      <c r="T582" s="44"/>
      <c r="U582" s="18"/>
      <c r="Z582" s="18"/>
    </row>
    <row r="583" spans="9:26" x14ac:dyDescent="0.35">
      <c r="I583" s="44"/>
      <c r="P583" s="18"/>
      <c r="Q583" s="44"/>
      <c r="R583" s="83"/>
      <c r="S583" s="44"/>
      <c r="T583" s="44"/>
      <c r="U583" s="18"/>
      <c r="Z583" s="18"/>
    </row>
    <row r="584" spans="9:26" x14ac:dyDescent="0.35">
      <c r="I584" s="44"/>
      <c r="P584" s="18"/>
      <c r="Q584" s="44"/>
      <c r="R584" s="83"/>
      <c r="S584" s="44"/>
      <c r="T584" s="44"/>
      <c r="U584" s="18"/>
      <c r="Z584" s="18"/>
    </row>
    <row r="585" spans="9:26" x14ac:dyDescent="0.35">
      <c r="I585" s="44"/>
      <c r="P585" s="18"/>
      <c r="Q585" s="44"/>
      <c r="R585" s="83"/>
      <c r="S585" s="44"/>
      <c r="T585" s="44"/>
      <c r="U585" s="18"/>
      <c r="Z585" s="18"/>
    </row>
    <row r="586" spans="9:26" x14ac:dyDescent="0.35">
      <c r="I586" s="44"/>
      <c r="P586" s="18"/>
      <c r="Q586" s="44"/>
      <c r="R586" s="83"/>
      <c r="S586" s="44"/>
      <c r="T586" s="44"/>
      <c r="U586" s="18"/>
      <c r="Z586" s="18"/>
    </row>
    <row r="587" spans="9:26" x14ac:dyDescent="0.35">
      <c r="I587" s="44"/>
      <c r="P587" s="18"/>
      <c r="Q587" s="44"/>
      <c r="R587" s="83"/>
      <c r="S587" s="44"/>
      <c r="T587" s="44"/>
      <c r="U587" s="18"/>
      <c r="Z587" s="18"/>
    </row>
    <row r="588" spans="9:26" x14ac:dyDescent="0.35">
      <c r="I588" s="44"/>
      <c r="P588" s="18"/>
      <c r="Q588" s="44"/>
      <c r="R588" s="83"/>
      <c r="S588" s="44"/>
      <c r="T588" s="44"/>
      <c r="U588" s="18"/>
      <c r="Z588" s="18"/>
    </row>
    <row r="589" spans="9:26" x14ac:dyDescent="0.35">
      <c r="I589" s="44"/>
      <c r="P589" s="18"/>
      <c r="Q589" s="44"/>
      <c r="R589" s="83"/>
      <c r="S589" s="44"/>
      <c r="T589" s="44"/>
      <c r="U589" s="18"/>
      <c r="Z589" s="18"/>
    </row>
    <row r="590" spans="9:26" x14ac:dyDescent="0.35">
      <c r="I590" s="44"/>
      <c r="P590" s="18"/>
      <c r="Q590" s="44"/>
      <c r="R590" s="83"/>
      <c r="S590" s="44"/>
      <c r="T590" s="44"/>
      <c r="U590" s="18"/>
      <c r="Z590" s="18"/>
    </row>
    <row r="591" spans="9:26" x14ac:dyDescent="0.35">
      <c r="I591" s="44"/>
      <c r="P591" s="18"/>
      <c r="Q591" s="44"/>
      <c r="R591" s="83"/>
      <c r="S591" s="44"/>
      <c r="T591" s="44"/>
      <c r="U591" s="18"/>
      <c r="Z591" s="18"/>
    </row>
    <row r="592" spans="9:26" x14ac:dyDescent="0.35">
      <c r="I592" s="44"/>
      <c r="P592" s="18"/>
      <c r="Q592" s="44"/>
      <c r="R592" s="83"/>
      <c r="S592" s="44"/>
      <c r="T592" s="44"/>
      <c r="U592" s="18"/>
      <c r="Z592" s="18"/>
    </row>
    <row r="593" spans="9:26" x14ac:dyDescent="0.35">
      <c r="I593" s="44"/>
      <c r="P593" s="18"/>
      <c r="Q593" s="44"/>
      <c r="R593" s="83"/>
      <c r="S593" s="44"/>
      <c r="T593" s="44"/>
      <c r="U593" s="18"/>
      <c r="Z593" s="18"/>
    </row>
    <row r="594" spans="9:26" x14ac:dyDescent="0.35">
      <c r="I594" s="44"/>
      <c r="P594" s="18"/>
      <c r="Q594" s="44"/>
      <c r="R594" s="83"/>
      <c r="S594" s="44"/>
      <c r="T594" s="44"/>
      <c r="U594" s="18"/>
      <c r="Z594" s="18"/>
    </row>
    <row r="595" spans="9:26" x14ac:dyDescent="0.35">
      <c r="I595" s="44"/>
      <c r="P595" s="18"/>
      <c r="Q595" s="44"/>
      <c r="R595" s="83"/>
      <c r="S595" s="44"/>
      <c r="T595" s="44"/>
      <c r="U595" s="18"/>
      <c r="Z595" s="18"/>
    </row>
    <row r="596" spans="9:26" x14ac:dyDescent="0.35">
      <c r="I596" s="44"/>
      <c r="P596" s="18"/>
      <c r="Q596" s="44"/>
      <c r="R596" s="83"/>
      <c r="S596" s="44"/>
      <c r="T596" s="44"/>
      <c r="U596" s="18"/>
      <c r="Z596" s="18"/>
    </row>
    <row r="597" spans="9:26" x14ac:dyDescent="0.35">
      <c r="I597" s="44"/>
      <c r="P597" s="18"/>
      <c r="Q597" s="44"/>
      <c r="R597" s="83"/>
      <c r="S597" s="44"/>
      <c r="T597" s="44"/>
      <c r="U597" s="18"/>
      <c r="Z597" s="18"/>
    </row>
    <row r="598" spans="9:26" x14ac:dyDescent="0.35">
      <c r="I598" s="44"/>
      <c r="P598" s="18"/>
      <c r="Q598" s="44"/>
      <c r="R598" s="83"/>
      <c r="S598" s="44"/>
      <c r="T598" s="44"/>
      <c r="U598" s="18"/>
      <c r="Z598" s="18"/>
    </row>
    <row r="599" spans="9:26" x14ac:dyDescent="0.35">
      <c r="I599" s="44"/>
      <c r="P599" s="18"/>
      <c r="Q599" s="44"/>
      <c r="R599" s="83"/>
      <c r="S599" s="44"/>
      <c r="T599" s="44"/>
      <c r="U599" s="18"/>
      <c r="Z599" s="18"/>
    </row>
    <row r="600" spans="9:26" x14ac:dyDescent="0.35">
      <c r="I600" s="44"/>
      <c r="P600" s="18"/>
      <c r="Q600" s="44"/>
      <c r="R600" s="83"/>
      <c r="S600" s="44"/>
      <c r="T600" s="44"/>
      <c r="U600" s="18"/>
      <c r="Z600" s="18"/>
    </row>
    <row r="601" spans="9:26" x14ac:dyDescent="0.35">
      <c r="I601" s="44"/>
      <c r="P601" s="18"/>
      <c r="Q601" s="44"/>
      <c r="R601" s="83"/>
      <c r="S601" s="44"/>
      <c r="T601" s="44"/>
      <c r="U601" s="18"/>
      <c r="Z601" s="18"/>
    </row>
    <row r="602" spans="9:26" x14ac:dyDescent="0.35">
      <c r="I602" s="44"/>
      <c r="P602" s="18"/>
      <c r="Q602" s="44"/>
      <c r="R602" s="83"/>
      <c r="S602" s="44"/>
      <c r="T602" s="44"/>
      <c r="U602" s="18"/>
      <c r="Z602" s="18"/>
    </row>
    <row r="603" spans="9:26" x14ac:dyDescent="0.35">
      <c r="I603" s="44"/>
      <c r="P603" s="18"/>
      <c r="Q603" s="44"/>
      <c r="R603" s="83"/>
      <c r="S603" s="44"/>
      <c r="T603" s="44"/>
      <c r="U603" s="18"/>
      <c r="Z603" s="18"/>
    </row>
    <row r="604" spans="9:26" x14ac:dyDescent="0.35">
      <c r="I604" s="44"/>
      <c r="P604" s="18"/>
      <c r="Q604" s="44"/>
      <c r="R604" s="83"/>
      <c r="S604" s="44"/>
      <c r="T604" s="44"/>
      <c r="U604" s="18"/>
      <c r="Z604" s="18"/>
    </row>
    <row r="605" spans="9:26" x14ac:dyDescent="0.35">
      <c r="I605" s="44"/>
      <c r="P605" s="18"/>
      <c r="Q605" s="44"/>
      <c r="R605" s="83"/>
      <c r="S605" s="44"/>
      <c r="T605" s="44"/>
      <c r="U605" s="18"/>
      <c r="Z605" s="18"/>
    </row>
    <row r="606" spans="9:26" x14ac:dyDescent="0.35">
      <c r="I606" s="44"/>
      <c r="P606" s="18"/>
      <c r="Q606" s="44"/>
      <c r="R606" s="83"/>
      <c r="S606" s="44"/>
      <c r="T606" s="44"/>
      <c r="U606" s="18"/>
      <c r="Z606" s="18"/>
    </row>
    <row r="607" spans="9:26" x14ac:dyDescent="0.35">
      <c r="I607" s="44"/>
      <c r="P607" s="18"/>
      <c r="Q607" s="44"/>
      <c r="R607" s="83"/>
      <c r="S607" s="44"/>
      <c r="T607" s="44"/>
      <c r="U607" s="18"/>
      <c r="Z607" s="18"/>
    </row>
    <row r="608" spans="9:26" x14ac:dyDescent="0.35">
      <c r="I608" s="44"/>
      <c r="P608" s="18"/>
      <c r="Q608" s="44"/>
      <c r="R608" s="83"/>
      <c r="S608" s="44"/>
      <c r="T608" s="44"/>
      <c r="U608" s="18"/>
      <c r="Z608" s="18"/>
    </row>
    <row r="609" spans="9:26" x14ac:dyDescent="0.35">
      <c r="I609" s="44"/>
      <c r="P609" s="18"/>
      <c r="Q609" s="44"/>
      <c r="R609" s="83"/>
      <c r="S609" s="44"/>
      <c r="T609" s="44"/>
      <c r="U609" s="18"/>
      <c r="Z609" s="18"/>
    </row>
    <row r="610" spans="9:26" x14ac:dyDescent="0.35">
      <c r="I610" s="44"/>
      <c r="P610" s="18"/>
      <c r="Q610" s="44"/>
      <c r="R610" s="83"/>
      <c r="S610" s="44"/>
      <c r="T610" s="44"/>
      <c r="U610" s="18"/>
      <c r="Z610" s="18"/>
    </row>
    <row r="611" spans="9:26" x14ac:dyDescent="0.35">
      <c r="I611" s="44"/>
      <c r="P611" s="18"/>
      <c r="Q611" s="44"/>
      <c r="R611" s="83"/>
      <c r="S611" s="44"/>
      <c r="T611" s="44"/>
      <c r="U611" s="18"/>
      <c r="Z611" s="18"/>
    </row>
    <row r="612" spans="9:26" x14ac:dyDescent="0.35">
      <c r="I612" s="44"/>
      <c r="P612" s="18"/>
      <c r="Q612" s="44"/>
      <c r="R612" s="83"/>
      <c r="S612" s="44"/>
      <c r="T612" s="44"/>
      <c r="U612" s="18"/>
      <c r="Z612" s="18"/>
    </row>
    <row r="613" spans="9:26" x14ac:dyDescent="0.35">
      <c r="I613" s="44"/>
      <c r="P613" s="18"/>
      <c r="Q613" s="44"/>
      <c r="R613" s="83"/>
      <c r="S613" s="44"/>
      <c r="T613" s="44"/>
      <c r="U613" s="18"/>
      <c r="Z613" s="18"/>
    </row>
    <row r="614" spans="9:26" x14ac:dyDescent="0.35">
      <c r="I614" s="44"/>
      <c r="P614" s="18"/>
      <c r="Q614" s="44"/>
      <c r="R614" s="83"/>
      <c r="S614" s="44"/>
      <c r="T614" s="44"/>
      <c r="U614" s="18"/>
      <c r="Z614" s="18"/>
    </row>
    <row r="615" spans="9:26" x14ac:dyDescent="0.35">
      <c r="I615" s="44"/>
      <c r="P615" s="18"/>
      <c r="Q615" s="44"/>
      <c r="R615" s="83"/>
      <c r="S615" s="44"/>
      <c r="T615" s="44"/>
      <c r="U615" s="18"/>
      <c r="Z615" s="18"/>
    </row>
    <row r="616" spans="9:26" x14ac:dyDescent="0.35">
      <c r="I616" s="44"/>
      <c r="P616" s="18"/>
      <c r="Q616" s="44"/>
      <c r="R616" s="83"/>
      <c r="S616" s="44"/>
      <c r="T616" s="44"/>
      <c r="U616" s="18"/>
      <c r="Z616" s="18"/>
    </row>
    <row r="617" spans="9:26" x14ac:dyDescent="0.35">
      <c r="I617" s="44"/>
      <c r="P617" s="18"/>
      <c r="Q617" s="44"/>
      <c r="R617" s="83"/>
      <c r="S617" s="44"/>
      <c r="T617" s="44"/>
      <c r="U617" s="18"/>
      <c r="Z617" s="18"/>
    </row>
    <row r="618" spans="9:26" x14ac:dyDescent="0.35">
      <c r="I618" s="44"/>
      <c r="P618" s="18"/>
      <c r="Q618" s="44"/>
      <c r="R618" s="83"/>
      <c r="S618" s="44"/>
      <c r="T618" s="44"/>
      <c r="U618" s="18"/>
      <c r="Z618" s="18"/>
    </row>
    <row r="619" spans="9:26" x14ac:dyDescent="0.35">
      <c r="I619" s="44"/>
      <c r="P619" s="18"/>
      <c r="Q619" s="44"/>
      <c r="R619" s="83"/>
      <c r="S619" s="44"/>
      <c r="T619" s="44"/>
      <c r="U619" s="18"/>
      <c r="Z619" s="18"/>
    </row>
    <row r="620" spans="9:26" x14ac:dyDescent="0.35">
      <c r="I620" s="44"/>
      <c r="P620" s="18"/>
      <c r="Q620" s="44"/>
      <c r="R620" s="83"/>
      <c r="S620" s="44"/>
      <c r="T620" s="44"/>
      <c r="U620" s="18"/>
      <c r="Z620" s="18"/>
    </row>
    <row r="621" spans="9:26" x14ac:dyDescent="0.35">
      <c r="I621" s="44"/>
      <c r="P621" s="18"/>
      <c r="Q621" s="44"/>
      <c r="R621" s="83"/>
      <c r="S621" s="44"/>
      <c r="T621" s="44"/>
      <c r="U621" s="18"/>
      <c r="Z621" s="18"/>
    </row>
    <row r="622" spans="9:26" x14ac:dyDescent="0.35">
      <c r="I622" s="44"/>
      <c r="P622" s="18"/>
      <c r="Q622" s="44"/>
      <c r="R622" s="83"/>
      <c r="S622" s="44"/>
      <c r="T622" s="44"/>
      <c r="U622" s="18"/>
      <c r="Z622" s="18"/>
    </row>
    <row r="623" spans="9:26" x14ac:dyDescent="0.35">
      <c r="I623" s="44"/>
      <c r="P623" s="18"/>
      <c r="Q623" s="44"/>
      <c r="R623" s="83"/>
      <c r="S623" s="44"/>
      <c r="T623" s="44"/>
      <c r="U623" s="18"/>
      <c r="Z623" s="18"/>
    </row>
    <row r="624" spans="9:26" x14ac:dyDescent="0.35">
      <c r="I624" s="44"/>
      <c r="P624" s="18"/>
      <c r="Q624" s="44"/>
      <c r="R624" s="83"/>
      <c r="S624" s="44"/>
      <c r="T624" s="44"/>
      <c r="U624" s="18"/>
      <c r="Z624" s="18"/>
    </row>
    <row r="625" spans="9:26" x14ac:dyDescent="0.35">
      <c r="I625" s="44"/>
      <c r="P625" s="18"/>
      <c r="Q625" s="44"/>
      <c r="R625" s="83"/>
      <c r="S625" s="44"/>
      <c r="T625" s="44"/>
      <c r="U625" s="18"/>
      <c r="Z625" s="18"/>
    </row>
    <row r="626" spans="9:26" x14ac:dyDescent="0.35">
      <c r="I626" s="44"/>
      <c r="P626" s="18"/>
      <c r="Q626" s="44"/>
      <c r="R626" s="83"/>
      <c r="S626" s="44"/>
      <c r="T626" s="44"/>
      <c r="U626" s="18"/>
      <c r="Z626" s="18"/>
    </row>
    <row r="627" spans="9:26" x14ac:dyDescent="0.35">
      <c r="I627" s="44"/>
      <c r="P627" s="18"/>
      <c r="Q627" s="44"/>
      <c r="R627" s="83"/>
      <c r="S627" s="44"/>
      <c r="T627" s="44"/>
      <c r="U627" s="18"/>
      <c r="Z627" s="18"/>
    </row>
    <row r="628" spans="9:26" x14ac:dyDescent="0.35">
      <c r="I628" s="44"/>
      <c r="P628" s="18"/>
      <c r="Q628" s="44"/>
      <c r="R628" s="83"/>
      <c r="S628" s="44"/>
      <c r="T628" s="44"/>
      <c r="U628" s="18"/>
      <c r="Z628" s="18"/>
    </row>
    <row r="629" spans="9:26" x14ac:dyDescent="0.35">
      <c r="I629" s="44"/>
      <c r="P629" s="18"/>
      <c r="Q629" s="44"/>
      <c r="R629" s="83"/>
      <c r="S629" s="44"/>
      <c r="T629" s="44"/>
      <c r="U629" s="18"/>
      <c r="Z629" s="18"/>
    </row>
    <row r="630" spans="9:26" x14ac:dyDescent="0.35">
      <c r="I630" s="44"/>
      <c r="P630" s="18"/>
      <c r="Q630" s="44"/>
      <c r="R630" s="83"/>
      <c r="S630" s="44"/>
      <c r="T630" s="44"/>
      <c r="U630" s="18"/>
      <c r="Z630" s="18"/>
    </row>
    <row r="631" spans="9:26" x14ac:dyDescent="0.35">
      <c r="I631" s="44"/>
      <c r="P631" s="18"/>
      <c r="Q631" s="44"/>
      <c r="R631" s="83"/>
      <c r="S631" s="44"/>
      <c r="T631" s="44"/>
      <c r="U631" s="18"/>
      <c r="Z631" s="18"/>
    </row>
    <row r="632" spans="9:26" x14ac:dyDescent="0.35">
      <c r="I632" s="44"/>
      <c r="P632" s="18"/>
      <c r="Q632" s="44"/>
      <c r="R632" s="83"/>
      <c r="S632" s="44"/>
      <c r="T632" s="44"/>
      <c r="U632" s="18"/>
      <c r="Z632" s="18"/>
    </row>
    <row r="633" spans="9:26" x14ac:dyDescent="0.35">
      <c r="I633" s="44"/>
      <c r="P633" s="18"/>
      <c r="Q633" s="44"/>
      <c r="R633" s="83"/>
      <c r="S633" s="44"/>
      <c r="T633" s="44"/>
      <c r="U633" s="18"/>
      <c r="Z633" s="18"/>
    </row>
    <row r="634" spans="9:26" x14ac:dyDescent="0.35">
      <c r="I634" s="44"/>
      <c r="P634" s="18"/>
      <c r="Q634" s="44"/>
      <c r="R634" s="83"/>
      <c r="S634" s="44"/>
      <c r="T634" s="44"/>
      <c r="U634" s="18"/>
      <c r="Z634" s="18"/>
    </row>
    <row r="635" spans="9:26" x14ac:dyDescent="0.35">
      <c r="I635" s="44"/>
      <c r="P635" s="18"/>
      <c r="Q635" s="44"/>
      <c r="R635" s="83"/>
      <c r="S635" s="44"/>
      <c r="T635" s="44"/>
      <c r="U635" s="18"/>
      <c r="Z635" s="18"/>
    </row>
    <row r="636" spans="9:26" x14ac:dyDescent="0.35">
      <c r="I636" s="44"/>
      <c r="P636" s="18"/>
      <c r="Q636" s="44"/>
      <c r="R636" s="83"/>
      <c r="S636" s="44"/>
      <c r="T636" s="44"/>
      <c r="U636" s="18"/>
      <c r="Z636" s="18"/>
    </row>
    <row r="637" spans="9:26" x14ac:dyDescent="0.35">
      <c r="I637" s="44"/>
      <c r="P637" s="18"/>
      <c r="Q637" s="44"/>
      <c r="R637" s="83"/>
      <c r="S637" s="44"/>
      <c r="T637" s="44"/>
      <c r="U637" s="18"/>
      <c r="Z637" s="18"/>
    </row>
    <row r="638" spans="9:26" x14ac:dyDescent="0.35">
      <c r="I638" s="44"/>
      <c r="P638" s="18"/>
      <c r="Q638" s="44"/>
      <c r="R638" s="83"/>
      <c r="S638" s="44"/>
      <c r="T638" s="44"/>
      <c r="U638" s="18"/>
      <c r="Z638" s="18"/>
    </row>
    <row r="639" spans="9:26" x14ac:dyDescent="0.35">
      <c r="I639" s="44"/>
      <c r="P639" s="18"/>
      <c r="Q639" s="44"/>
      <c r="R639" s="83"/>
      <c r="S639" s="44"/>
      <c r="T639" s="44"/>
      <c r="U639" s="18"/>
      <c r="Z639" s="18"/>
    </row>
    <row r="640" spans="9:26" x14ac:dyDescent="0.35">
      <c r="I640" s="44"/>
      <c r="P640" s="18"/>
      <c r="Q640" s="44"/>
      <c r="R640" s="83"/>
      <c r="S640" s="44"/>
      <c r="T640" s="44"/>
      <c r="U640" s="18"/>
      <c r="Z640" s="18"/>
    </row>
    <row r="641" spans="9:26" x14ac:dyDescent="0.35">
      <c r="I641" s="44"/>
      <c r="P641" s="18"/>
      <c r="Q641" s="44"/>
      <c r="R641" s="83"/>
      <c r="S641" s="44"/>
      <c r="T641" s="44"/>
      <c r="U641" s="18"/>
      <c r="Z641" s="18"/>
    </row>
    <row r="642" spans="9:26" x14ac:dyDescent="0.35">
      <c r="I642" s="44"/>
      <c r="P642" s="18"/>
      <c r="Q642" s="44"/>
      <c r="R642" s="83"/>
      <c r="S642" s="44"/>
      <c r="T642" s="44"/>
      <c r="U642" s="18"/>
      <c r="Z642" s="18"/>
    </row>
    <row r="643" spans="9:26" x14ac:dyDescent="0.35">
      <c r="I643" s="44"/>
      <c r="P643" s="18"/>
      <c r="Q643" s="44"/>
      <c r="R643" s="83"/>
      <c r="S643" s="44"/>
      <c r="T643" s="44"/>
      <c r="U643" s="18"/>
      <c r="Z643" s="18"/>
    </row>
    <row r="644" spans="9:26" x14ac:dyDescent="0.35">
      <c r="I644" s="44"/>
      <c r="P644" s="18"/>
      <c r="Q644" s="44"/>
      <c r="R644" s="83"/>
      <c r="S644" s="44"/>
      <c r="T644" s="44"/>
      <c r="U644" s="18"/>
      <c r="Z644" s="18"/>
    </row>
    <row r="645" spans="9:26" x14ac:dyDescent="0.35">
      <c r="I645" s="44"/>
      <c r="P645" s="18"/>
      <c r="Q645" s="44"/>
      <c r="R645" s="83"/>
      <c r="S645" s="44"/>
      <c r="T645" s="44"/>
      <c r="U645" s="18"/>
      <c r="Z645" s="18"/>
    </row>
    <row r="646" spans="9:26" x14ac:dyDescent="0.35">
      <c r="I646" s="44"/>
      <c r="P646" s="18"/>
      <c r="Q646" s="44"/>
      <c r="R646" s="83"/>
      <c r="S646" s="44"/>
      <c r="T646" s="44"/>
      <c r="U646" s="18"/>
      <c r="Z646" s="18"/>
    </row>
    <row r="647" spans="9:26" x14ac:dyDescent="0.35">
      <c r="I647" s="44"/>
      <c r="P647" s="18"/>
      <c r="Q647" s="44"/>
      <c r="R647" s="83"/>
      <c r="S647" s="44"/>
      <c r="T647" s="44"/>
      <c r="U647" s="18"/>
      <c r="Z647" s="18"/>
    </row>
    <row r="648" spans="9:26" x14ac:dyDescent="0.35">
      <c r="I648" s="44"/>
      <c r="P648" s="18"/>
      <c r="Q648" s="44"/>
      <c r="R648" s="83"/>
      <c r="S648" s="44"/>
      <c r="T648" s="44"/>
      <c r="U648" s="18"/>
      <c r="Z648" s="18"/>
    </row>
    <row r="649" spans="9:26" x14ac:dyDescent="0.35">
      <c r="I649" s="44"/>
      <c r="P649" s="18"/>
      <c r="Q649" s="44"/>
      <c r="R649" s="83"/>
      <c r="S649" s="44"/>
      <c r="T649" s="44"/>
      <c r="U649" s="18"/>
      <c r="Z649" s="18"/>
    </row>
    <row r="650" spans="9:26" x14ac:dyDescent="0.35">
      <c r="I650" s="44"/>
      <c r="P650" s="18"/>
      <c r="Q650" s="44"/>
      <c r="R650" s="83"/>
      <c r="S650" s="44"/>
      <c r="T650" s="44"/>
      <c r="U650" s="18"/>
      <c r="Z650" s="18"/>
    </row>
    <row r="651" spans="9:26" x14ac:dyDescent="0.35">
      <c r="I651" s="44"/>
      <c r="P651" s="18"/>
      <c r="Q651" s="44"/>
      <c r="R651" s="83"/>
      <c r="S651" s="44"/>
      <c r="T651" s="44"/>
      <c r="U651" s="18"/>
      <c r="Z651" s="18"/>
    </row>
    <row r="652" spans="9:26" x14ac:dyDescent="0.35">
      <c r="I652" s="44"/>
      <c r="P652" s="18"/>
      <c r="Q652" s="44"/>
      <c r="R652" s="83"/>
      <c r="S652" s="44"/>
      <c r="T652" s="44"/>
      <c r="U652" s="18"/>
      <c r="Z652" s="18"/>
    </row>
    <row r="653" spans="9:26" x14ac:dyDescent="0.35">
      <c r="I653" s="44"/>
      <c r="P653" s="18"/>
      <c r="Q653" s="44"/>
      <c r="R653" s="83"/>
      <c r="S653" s="44"/>
      <c r="T653" s="44"/>
      <c r="U653" s="18"/>
      <c r="Z653" s="18"/>
    </row>
    <row r="654" spans="9:26" x14ac:dyDescent="0.35">
      <c r="I654" s="44"/>
      <c r="P654" s="18"/>
      <c r="Q654" s="44"/>
      <c r="R654" s="83"/>
      <c r="S654" s="44"/>
      <c r="T654" s="44"/>
      <c r="U654" s="18"/>
      <c r="Z654" s="18"/>
    </row>
    <row r="655" spans="9:26" x14ac:dyDescent="0.35">
      <c r="I655" s="44"/>
      <c r="P655" s="18"/>
      <c r="Q655" s="44"/>
      <c r="R655" s="83"/>
      <c r="S655" s="44"/>
      <c r="T655" s="44"/>
      <c r="U655" s="18"/>
      <c r="Z655" s="18"/>
    </row>
    <row r="656" spans="9:26" x14ac:dyDescent="0.35">
      <c r="I656" s="44"/>
      <c r="P656" s="18"/>
      <c r="Q656" s="44"/>
      <c r="R656" s="83"/>
      <c r="S656" s="44"/>
      <c r="T656" s="44"/>
      <c r="U656" s="18"/>
      <c r="Z656" s="18"/>
    </row>
    <row r="657" spans="9:26" x14ac:dyDescent="0.35">
      <c r="I657" s="44"/>
      <c r="P657" s="18"/>
      <c r="Q657" s="44"/>
      <c r="R657" s="83"/>
      <c r="S657" s="44"/>
      <c r="T657" s="44"/>
      <c r="U657" s="18"/>
      <c r="Z657" s="18"/>
    </row>
    <row r="658" spans="9:26" x14ac:dyDescent="0.35">
      <c r="I658" s="44"/>
      <c r="P658" s="18"/>
      <c r="Q658" s="44"/>
      <c r="R658" s="83"/>
      <c r="S658" s="44"/>
      <c r="T658" s="44"/>
      <c r="U658" s="18"/>
      <c r="Z658" s="18"/>
    </row>
    <row r="659" spans="9:26" x14ac:dyDescent="0.35">
      <c r="I659" s="44"/>
      <c r="P659" s="18"/>
      <c r="Q659" s="44"/>
      <c r="R659" s="83"/>
      <c r="S659" s="44"/>
      <c r="T659" s="44"/>
      <c r="U659" s="18"/>
      <c r="Z659" s="18"/>
    </row>
    <row r="660" spans="9:26" x14ac:dyDescent="0.35">
      <c r="I660" s="44"/>
      <c r="P660" s="18"/>
      <c r="Q660" s="44"/>
      <c r="R660" s="83"/>
      <c r="S660" s="44"/>
      <c r="T660" s="44"/>
      <c r="U660" s="18"/>
      <c r="Z660" s="18"/>
    </row>
    <row r="661" spans="9:26" x14ac:dyDescent="0.35">
      <c r="I661" s="44"/>
      <c r="P661" s="18"/>
      <c r="Q661" s="44"/>
      <c r="R661" s="83"/>
      <c r="S661" s="44"/>
      <c r="T661" s="44"/>
      <c r="U661" s="18"/>
      <c r="Z661" s="18"/>
    </row>
    <row r="662" spans="9:26" x14ac:dyDescent="0.35">
      <c r="I662" s="44"/>
      <c r="P662" s="18"/>
      <c r="Q662" s="44"/>
      <c r="R662" s="83"/>
      <c r="S662" s="44"/>
      <c r="T662" s="44"/>
      <c r="U662" s="18"/>
      <c r="Z662" s="18"/>
    </row>
    <row r="663" spans="9:26" x14ac:dyDescent="0.35">
      <c r="I663" s="44"/>
      <c r="P663" s="18"/>
      <c r="Q663" s="44"/>
      <c r="R663" s="83"/>
      <c r="S663" s="44"/>
      <c r="T663" s="44"/>
      <c r="U663" s="18"/>
      <c r="Z663" s="18"/>
    </row>
    <row r="664" spans="9:26" x14ac:dyDescent="0.35">
      <c r="I664" s="44"/>
      <c r="P664" s="18"/>
      <c r="Q664" s="44"/>
      <c r="R664" s="83"/>
      <c r="S664" s="44"/>
      <c r="T664" s="44"/>
      <c r="U664" s="18"/>
      <c r="Z664" s="18"/>
    </row>
    <row r="665" spans="9:26" x14ac:dyDescent="0.35">
      <c r="I665" s="44"/>
      <c r="P665" s="18"/>
      <c r="Q665" s="44"/>
      <c r="R665" s="83"/>
      <c r="S665" s="44"/>
      <c r="T665" s="44"/>
      <c r="U665" s="18"/>
      <c r="Z665" s="18"/>
    </row>
    <row r="666" spans="9:26" x14ac:dyDescent="0.35">
      <c r="I666" s="44"/>
      <c r="P666" s="18"/>
      <c r="Q666" s="44"/>
      <c r="R666" s="83"/>
      <c r="S666" s="44"/>
      <c r="T666" s="44"/>
      <c r="U666" s="18"/>
      <c r="Z666" s="18"/>
    </row>
    <row r="667" spans="9:26" x14ac:dyDescent="0.35">
      <c r="I667" s="44"/>
      <c r="P667" s="18"/>
      <c r="Q667" s="44"/>
      <c r="R667" s="83"/>
      <c r="S667" s="44"/>
      <c r="T667" s="44"/>
      <c r="U667" s="18"/>
      <c r="Z667" s="18"/>
    </row>
    <row r="668" spans="9:26" x14ac:dyDescent="0.35">
      <c r="I668" s="44"/>
      <c r="P668" s="18"/>
      <c r="Q668" s="44"/>
      <c r="R668" s="83"/>
      <c r="S668" s="44"/>
      <c r="T668" s="44"/>
      <c r="U668" s="18"/>
      <c r="Z668" s="18"/>
    </row>
    <row r="669" spans="9:26" x14ac:dyDescent="0.35">
      <c r="I669" s="44"/>
      <c r="P669" s="18"/>
      <c r="Q669" s="44"/>
      <c r="R669" s="83"/>
      <c r="S669" s="44"/>
      <c r="T669" s="44"/>
      <c r="U669" s="18"/>
      <c r="Z669" s="18"/>
    </row>
    <row r="670" spans="9:26" x14ac:dyDescent="0.35">
      <c r="I670" s="44"/>
      <c r="P670" s="18"/>
      <c r="Q670" s="44"/>
      <c r="R670" s="83"/>
      <c r="S670" s="44"/>
      <c r="T670" s="44"/>
      <c r="U670" s="18"/>
      <c r="Z670" s="18"/>
    </row>
    <row r="671" spans="9:26" x14ac:dyDescent="0.35">
      <c r="I671" s="44"/>
      <c r="P671" s="18"/>
      <c r="Q671" s="44"/>
      <c r="R671" s="83"/>
      <c r="S671" s="44"/>
      <c r="T671" s="44"/>
      <c r="U671" s="18"/>
      <c r="Z671" s="18"/>
    </row>
    <row r="672" spans="9:26" x14ac:dyDescent="0.35">
      <c r="I672" s="44"/>
      <c r="P672" s="18"/>
      <c r="Q672" s="44"/>
      <c r="R672" s="83"/>
      <c r="S672" s="44"/>
      <c r="T672" s="44"/>
      <c r="U672" s="18"/>
      <c r="Z672" s="18"/>
    </row>
    <row r="673" spans="9:26" x14ac:dyDescent="0.35">
      <c r="I673" s="44"/>
      <c r="P673" s="18"/>
      <c r="Q673" s="44"/>
      <c r="R673" s="83"/>
      <c r="S673" s="44"/>
      <c r="T673" s="44"/>
      <c r="U673" s="18"/>
      <c r="Z673" s="18"/>
    </row>
    <row r="674" spans="9:26" x14ac:dyDescent="0.35">
      <c r="I674" s="44"/>
      <c r="P674" s="18"/>
      <c r="Q674" s="44"/>
      <c r="R674" s="83"/>
      <c r="S674" s="44"/>
      <c r="T674" s="44"/>
      <c r="U674" s="18"/>
      <c r="Z674" s="18"/>
    </row>
    <row r="675" spans="9:26" x14ac:dyDescent="0.35">
      <c r="I675" s="44"/>
      <c r="P675" s="18"/>
      <c r="Q675" s="44"/>
      <c r="R675" s="83"/>
      <c r="S675" s="44"/>
      <c r="T675" s="44"/>
      <c r="U675" s="18"/>
      <c r="Z675" s="18"/>
    </row>
    <row r="676" spans="9:26" x14ac:dyDescent="0.35">
      <c r="I676" s="44"/>
      <c r="P676" s="18"/>
      <c r="Q676" s="44"/>
      <c r="R676" s="83"/>
      <c r="S676" s="44"/>
      <c r="T676" s="44"/>
      <c r="U676" s="18"/>
      <c r="Z676" s="18"/>
    </row>
    <row r="677" spans="9:26" x14ac:dyDescent="0.35">
      <c r="I677" s="44"/>
      <c r="P677" s="18"/>
      <c r="Q677" s="44"/>
      <c r="R677" s="83"/>
      <c r="S677" s="44"/>
      <c r="T677" s="44"/>
      <c r="U677" s="18"/>
      <c r="Z677" s="18"/>
    </row>
    <row r="678" spans="9:26" x14ac:dyDescent="0.35">
      <c r="I678" s="44"/>
      <c r="P678" s="18"/>
      <c r="Q678" s="44"/>
      <c r="R678" s="83"/>
      <c r="S678" s="44"/>
      <c r="T678" s="44"/>
      <c r="U678" s="18"/>
      <c r="Z678" s="18"/>
    </row>
    <row r="679" spans="9:26" x14ac:dyDescent="0.35">
      <c r="I679" s="44"/>
      <c r="P679" s="18"/>
      <c r="Q679" s="44"/>
      <c r="R679" s="83"/>
      <c r="S679" s="44"/>
      <c r="T679" s="44"/>
      <c r="U679" s="18"/>
      <c r="Z679" s="18"/>
    </row>
    <row r="680" spans="9:26" x14ac:dyDescent="0.35">
      <c r="I680" s="44"/>
      <c r="P680" s="18"/>
      <c r="Q680" s="44"/>
      <c r="R680" s="83"/>
      <c r="S680" s="44"/>
      <c r="T680" s="44"/>
      <c r="U680" s="18"/>
      <c r="Z680" s="18"/>
    </row>
    <row r="681" spans="9:26" x14ac:dyDescent="0.35">
      <c r="I681" s="44"/>
      <c r="P681" s="18"/>
      <c r="Q681" s="44"/>
      <c r="R681" s="83"/>
      <c r="S681" s="44"/>
      <c r="T681" s="44"/>
      <c r="U681" s="18"/>
      <c r="Z681" s="18"/>
    </row>
    <row r="682" spans="9:26" x14ac:dyDescent="0.35">
      <c r="I682" s="44"/>
      <c r="P682" s="18"/>
      <c r="Q682" s="44"/>
      <c r="R682" s="83"/>
      <c r="S682" s="44"/>
      <c r="T682" s="44"/>
      <c r="U682" s="18"/>
      <c r="Z682" s="18"/>
    </row>
    <row r="683" spans="9:26" x14ac:dyDescent="0.35">
      <c r="I683" s="44"/>
      <c r="P683" s="18"/>
      <c r="Q683" s="44"/>
      <c r="R683" s="83"/>
      <c r="S683" s="44"/>
      <c r="T683" s="44"/>
      <c r="U683" s="18"/>
      <c r="Z683" s="18"/>
    </row>
    <row r="684" spans="9:26" x14ac:dyDescent="0.35">
      <c r="I684" s="44"/>
      <c r="P684" s="18"/>
      <c r="Q684" s="44"/>
      <c r="R684" s="83"/>
      <c r="S684" s="44"/>
      <c r="T684" s="44"/>
      <c r="U684" s="18"/>
      <c r="Z684" s="18"/>
    </row>
    <row r="685" spans="9:26" x14ac:dyDescent="0.35">
      <c r="I685" s="44"/>
      <c r="P685" s="18"/>
      <c r="Q685" s="44"/>
      <c r="R685" s="83"/>
      <c r="S685" s="44"/>
      <c r="T685" s="44"/>
      <c r="U685" s="18"/>
      <c r="Z685" s="18"/>
    </row>
    <row r="686" spans="9:26" x14ac:dyDescent="0.35">
      <c r="I686" s="44"/>
      <c r="P686" s="18"/>
      <c r="Q686" s="44"/>
      <c r="R686" s="83"/>
      <c r="S686" s="44"/>
      <c r="T686" s="44"/>
      <c r="U686" s="18"/>
      <c r="Z686" s="18"/>
    </row>
    <row r="687" spans="9:26" x14ac:dyDescent="0.35">
      <c r="I687" s="44"/>
      <c r="P687" s="18"/>
      <c r="Q687" s="44"/>
      <c r="R687" s="83"/>
      <c r="S687" s="44"/>
      <c r="T687" s="44"/>
      <c r="U687" s="18"/>
      <c r="Z687" s="18"/>
    </row>
    <row r="688" spans="9:26" x14ac:dyDescent="0.35">
      <c r="I688" s="44"/>
      <c r="P688" s="18"/>
      <c r="Q688" s="44"/>
      <c r="R688" s="83"/>
      <c r="S688" s="44"/>
      <c r="T688" s="44"/>
      <c r="U688" s="18"/>
      <c r="Z688" s="18"/>
    </row>
    <row r="689" spans="9:26" x14ac:dyDescent="0.35">
      <c r="I689" s="44"/>
      <c r="P689" s="18"/>
      <c r="Q689" s="44"/>
      <c r="R689" s="83"/>
      <c r="S689" s="44"/>
      <c r="T689" s="44"/>
      <c r="U689" s="18"/>
      <c r="Z689" s="18"/>
    </row>
    <row r="690" spans="9:26" x14ac:dyDescent="0.35">
      <c r="I690" s="44"/>
      <c r="P690" s="18"/>
      <c r="Q690" s="44"/>
      <c r="R690" s="83"/>
      <c r="S690" s="44"/>
      <c r="T690" s="44"/>
      <c r="U690" s="18"/>
      <c r="Z690" s="18"/>
    </row>
    <row r="691" spans="9:26" x14ac:dyDescent="0.35">
      <c r="I691" s="44"/>
      <c r="P691" s="18"/>
      <c r="Q691" s="44"/>
      <c r="R691" s="83"/>
      <c r="S691" s="44"/>
      <c r="T691" s="44"/>
      <c r="U691" s="18"/>
      <c r="Z691" s="18"/>
    </row>
    <row r="692" spans="9:26" x14ac:dyDescent="0.35">
      <c r="I692" s="44"/>
      <c r="P692" s="18"/>
      <c r="Q692" s="44"/>
      <c r="R692" s="83"/>
      <c r="S692" s="44"/>
      <c r="T692" s="44"/>
      <c r="U692" s="18"/>
      <c r="Z692" s="18"/>
    </row>
    <row r="693" spans="9:26" x14ac:dyDescent="0.35">
      <c r="I693" s="44"/>
      <c r="P693" s="18"/>
      <c r="Q693" s="44"/>
      <c r="R693" s="83"/>
      <c r="S693" s="44"/>
      <c r="T693" s="44"/>
      <c r="U693" s="18"/>
      <c r="Z693" s="18"/>
    </row>
    <row r="694" spans="9:26" x14ac:dyDescent="0.35">
      <c r="I694" s="44"/>
      <c r="P694" s="18"/>
      <c r="Q694" s="44"/>
      <c r="R694" s="83"/>
      <c r="S694" s="44"/>
      <c r="T694" s="44"/>
      <c r="U694" s="18"/>
      <c r="Z694" s="18"/>
    </row>
    <row r="695" spans="9:26" x14ac:dyDescent="0.35">
      <c r="I695" s="44"/>
      <c r="P695" s="18"/>
      <c r="Q695" s="44"/>
      <c r="R695" s="83"/>
      <c r="S695" s="44"/>
      <c r="T695" s="44"/>
      <c r="U695" s="18"/>
      <c r="Z695" s="18"/>
    </row>
    <row r="696" spans="9:26" x14ac:dyDescent="0.35">
      <c r="I696" s="44"/>
      <c r="P696" s="18"/>
      <c r="Q696" s="44"/>
      <c r="R696" s="83"/>
      <c r="S696" s="44"/>
      <c r="T696" s="44"/>
      <c r="U696" s="18"/>
      <c r="Z696" s="18"/>
    </row>
    <row r="697" spans="9:26" x14ac:dyDescent="0.35">
      <c r="I697" s="44"/>
      <c r="P697" s="18"/>
      <c r="Q697" s="44"/>
      <c r="R697" s="83"/>
      <c r="S697" s="44"/>
      <c r="T697" s="44"/>
      <c r="U697" s="18"/>
      <c r="Z697" s="18"/>
    </row>
    <row r="698" spans="9:26" x14ac:dyDescent="0.35">
      <c r="I698" s="44"/>
      <c r="P698" s="18"/>
      <c r="Q698" s="44"/>
      <c r="R698" s="83"/>
      <c r="S698" s="44"/>
      <c r="T698" s="44"/>
      <c r="U698" s="18"/>
      <c r="Z698" s="18"/>
    </row>
    <row r="699" spans="9:26" x14ac:dyDescent="0.35">
      <c r="I699" s="44"/>
      <c r="P699" s="18"/>
      <c r="Q699" s="44"/>
      <c r="R699" s="83"/>
      <c r="S699" s="44"/>
      <c r="T699" s="44"/>
      <c r="U699" s="18"/>
      <c r="Z699" s="18"/>
    </row>
    <row r="700" spans="9:26" x14ac:dyDescent="0.35">
      <c r="I700" s="44"/>
      <c r="P700" s="18"/>
      <c r="Q700" s="44"/>
      <c r="R700" s="83"/>
      <c r="S700" s="44"/>
      <c r="T700" s="44"/>
      <c r="U700" s="18"/>
      <c r="Z700" s="18"/>
    </row>
    <row r="701" spans="9:26" x14ac:dyDescent="0.35">
      <c r="I701" s="44"/>
      <c r="P701" s="18"/>
      <c r="Q701" s="44"/>
      <c r="R701" s="83"/>
      <c r="S701" s="44"/>
      <c r="T701" s="44"/>
      <c r="U701" s="18"/>
      <c r="Z701" s="18"/>
    </row>
    <row r="702" spans="9:26" x14ac:dyDescent="0.35">
      <c r="I702" s="44"/>
      <c r="P702" s="18"/>
      <c r="Q702" s="44"/>
      <c r="R702" s="83"/>
      <c r="S702" s="44"/>
      <c r="T702" s="44"/>
      <c r="U702" s="18"/>
      <c r="Z702" s="18"/>
    </row>
    <row r="703" spans="9:26" x14ac:dyDescent="0.35">
      <c r="I703" s="44"/>
      <c r="P703" s="18"/>
      <c r="Q703" s="44"/>
      <c r="R703" s="83"/>
      <c r="S703" s="44"/>
      <c r="T703" s="44"/>
      <c r="U703" s="18"/>
      <c r="Z703" s="18"/>
    </row>
    <row r="704" spans="9:26" x14ac:dyDescent="0.35">
      <c r="I704" s="44"/>
      <c r="P704" s="18"/>
      <c r="Q704" s="44"/>
      <c r="R704" s="83"/>
      <c r="S704" s="44"/>
      <c r="T704" s="44"/>
      <c r="U704" s="18"/>
      <c r="Z704" s="18"/>
    </row>
    <row r="705" spans="9:26" x14ac:dyDescent="0.35">
      <c r="I705" s="44"/>
      <c r="P705" s="18"/>
      <c r="Q705" s="44"/>
      <c r="R705" s="83"/>
      <c r="S705" s="44"/>
      <c r="T705" s="44"/>
      <c r="U705" s="18"/>
      <c r="Z705" s="18"/>
    </row>
    <row r="706" spans="9:26" x14ac:dyDescent="0.35">
      <c r="I706" s="44"/>
      <c r="P706" s="18"/>
      <c r="Q706" s="44"/>
      <c r="R706" s="83"/>
      <c r="S706" s="44"/>
      <c r="T706" s="44"/>
      <c r="U706" s="18"/>
      <c r="Z706" s="18"/>
    </row>
    <row r="707" spans="9:26" x14ac:dyDescent="0.35">
      <c r="I707" s="44"/>
      <c r="P707" s="18"/>
      <c r="Q707" s="44"/>
      <c r="R707" s="83"/>
      <c r="S707" s="44"/>
      <c r="T707" s="44"/>
      <c r="U707" s="18"/>
      <c r="Z707" s="18"/>
    </row>
    <row r="708" spans="9:26" x14ac:dyDescent="0.35">
      <c r="I708" s="44"/>
      <c r="P708" s="18"/>
      <c r="Q708" s="44"/>
      <c r="R708" s="83"/>
      <c r="S708" s="44"/>
      <c r="T708" s="44"/>
      <c r="U708" s="18"/>
      <c r="Z708" s="18"/>
    </row>
    <row r="709" spans="9:26" x14ac:dyDescent="0.35">
      <c r="I709" s="44"/>
      <c r="P709" s="18"/>
      <c r="Q709" s="44"/>
      <c r="R709" s="83"/>
      <c r="S709" s="44"/>
      <c r="T709" s="44"/>
      <c r="U709" s="18"/>
      <c r="Z709" s="18"/>
    </row>
    <row r="710" spans="9:26" x14ac:dyDescent="0.35">
      <c r="I710" s="44"/>
      <c r="P710" s="18"/>
      <c r="Q710" s="44"/>
      <c r="R710" s="83"/>
      <c r="S710" s="44"/>
      <c r="T710" s="44"/>
      <c r="U710" s="18"/>
      <c r="Z710" s="18"/>
    </row>
    <row r="711" spans="9:26" x14ac:dyDescent="0.35">
      <c r="I711" s="44"/>
      <c r="P711" s="18"/>
      <c r="Q711" s="44"/>
      <c r="R711" s="83"/>
      <c r="S711" s="44"/>
      <c r="T711" s="44"/>
      <c r="U711" s="18"/>
      <c r="Z711" s="18"/>
    </row>
    <row r="712" spans="9:26" x14ac:dyDescent="0.35">
      <c r="I712" s="44"/>
      <c r="P712" s="18"/>
      <c r="Q712" s="44"/>
      <c r="R712" s="83"/>
      <c r="S712" s="44"/>
      <c r="T712" s="44"/>
      <c r="U712" s="18"/>
      <c r="Z712" s="18"/>
    </row>
    <row r="713" spans="9:26" x14ac:dyDescent="0.35">
      <c r="I713" s="44"/>
      <c r="P713" s="18"/>
      <c r="Q713" s="44"/>
      <c r="R713" s="83"/>
      <c r="S713" s="44"/>
      <c r="T713" s="44"/>
      <c r="U713" s="18"/>
      <c r="Z713" s="18"/>
    </row>
    <row r="714" spans="9:26" x14ac:dyDescent="0.35">
      <c r="I714" s="44"/>
      <c r="P714" s="18"/>
      <c r="Q714" s="44"/>
      <c r="R714" s="83"/>
      <c r="S714" s="44"/>
      <c r="T714" s="44"/>
      <c r="U714" s="18"/>
      <c r="Z714" s="18"/>
    </row>
    <row r="715" spans="9:26" x14ac:dyDescent="0.35">
      <c r="I715" s="44"/>
      <c r="P715" s="18"/>
      <c r="Q715" s="44"/>
      <c r="R715" s="83"/>
      <c r="S715" s="44"/>
      <c r="T715" s="44"/>
      <c r="U715" s="18"/>
      <c r="Z715" s="18"/>
    </row>
    <row r="716" spans="9:26" x14ac:dyDescent="0.35">
      <c r="I716" s="44"/>
      <c r="P716" s="18"/>
      <c r="Q716" s="44"/>
      <c r="R716" s="83"/>
      <c r="S716" s="44"/>
      <c r="T716" s="44"/>
      <c r="U716" s="18"/>
      <c r="Z716" s="18"/>
    </row>
    <row r="717" spans="9:26" x14ac:dyDescent="0.35">
      <c r="I717" s="44"/>
      <c r="P717" s="18"/>
      <c r="Q717" s="44"/>
      <c r="R717" s="83"/>
      <c r="S717" s="44"/>
      <c r="T717" s="44"/>
      <c r="U717" s="18"/>
      <c r="Z717" s="18"/>
    </row>
    <row r="718" spans="9:26" x14ac:dyDescent="0.35">
      <c r="I718" s="44"/>
      <c r="P718" s="18"/>
      <c r="Q718" s="44"/>
      <c r="R718" s="83"/>
      <c r="S718" s="44"/>
      <c r="T718" s="44"/>
      <c r="U718" s="18"/>
      <c r="Z718" s="18"/>
    </row>
    <row r="719" spans="9:26" x14ac:dyDescent="0.35">
      <c r="I719" s="44"/>
      <c r="P719" s="18"/>
      <c r="Q719" s="44"/>
      <c r="R719" s="83"/>
      <c r="S719" s="44"/>
      <c r="T719" s="44"/>
      <c r="U719" s="18"/>
      <c r="Z719" s="18"/>
    </row>
    <row r="720" spans="9:26" x14ac:dyDescent="0.35">
      <c r="I720" s="44"/>
      <c r="P720" s="18"/>
      <c r="Q720" s="44"/>
      <c r="R720" s="83"/>
      <c r="S720" s="44"/>
      <c r="T720" s="44"/>
      <c r="U720" s="18"/>
      <c r="Z720" s="18"/>
    </row>
    <row r="721" spans="9:26" x14ac:dyDescent="0.35">
      <c r="I721" s="44"/>
      <c r="P721" s="18"/>
      <c r="Q721" s="44"/>
      <c r="R721" s="83"/>
      <c r="S721" s="44"/>
      <c r="T721" s="44"/>
      <c r="U721" s="18"/>
      <c r="Z721" s="18"/>
    </row>
    <row r="722" spans="9:26" x14ac:dyDescent="0.35">
      <c r="I722" s="44"/>
      <c r="P722" s="18"/>
      <c r="Q722" s="44"/>
      <c r="R722" s="83"/>
      <c r="S722" s="44"/>
      <c r="T722" s="44"/>
      <c r="U722" s="18"/>
      <c r="Z722" s="18"/>
    </row>
    <row r="723" spans="9:26" x14ac:dyDescent="0.35">
      <c r="I723" s="44"/>
      <c r="P723" s="18"/>
      <c r="Q723" s="44"/>
      <c r="R723" s="83"/>
      <c r="S723" s="44"/>
      <c r="T723" s="44"/>
      <c r="U723" s="18"/>
      <c r="Z723" s="18"/>
    </row>
    <row r="724" spans="9:26" x14ac:dyDescent="0.35">
      <c r="I724" s="44"/>
      <c r="P724" s="18"/>
      <c r="Q724" s="44"/>
      <c r="R724" s="83"/>
      <c r="S724" s="44"/>
      <c r="T724" s="44"/>
      <c r="U724" s="18"/>
      <c r="Z724" s="18"/>
    </row>
    <row r="725" spans="9:26" x14ac:dyDescent="0.35">
      <c r="I725" s="44"/>
      <c r="P725" s="18"/>
      <c r="Q725" s="44"/>
      <c r="R725" s="83"/>
      <c r="S725" s="44"/>
      <c r="T725" s="44"/>
      <c r="U725" s="18"/>
      <c r="Z725" s="18"/>
    </row>
    <row r="726" spans="9:26" x14ac:dyDescent="0.35">
      <c r="I726" s="44"/>
      <c r="P726" s="18"/>
      <c r="Q726" s="44"/>
      <c r="R726" s="83"/>
      <c r="S726" s="44"/>
      <c r="T726" s="44"/>
      <c r="U726" s="18"/>
      <c r="Z726" s="18"/>
    </row>
    <row r="727" spans="9:26" x14ac:dyDescent="0.35">
      <c r="I727" s="44"/>
      <c r="P727" s="18"/>
      <c r="Q727" s="44"/>
      <c r="R727" s="83"/>
      <c r="S727" s="44"/>
      <c r="T727" s="44"/>
      <c r="U727" s="18"/>
      <c r="Z727" s="18"/>
    </row>
    <row r="728" spans="9:26" x14ac:dyDescent="0.35">
      <c r="I728" s="44"/>
      <c r="P728" s="18"/>
      <c r="Q728" s="44"/>
      <c r="R728" s="83"/>
      <c r="S728" s="44"/>
      <c r="T728" s="44"/>
      <c r="U728" s="18"/>
      <c r="Z728" s="18"/>
    </row>
    <row r="729" spans="9:26" x14ac:dyDescent="0.35">
      <c r="I729" s="44"/>
      <c r="P729" s="18"/>
      <c r="Q729" s="44"/>
      <c r="R729" s="83"/>
      <c r="S729" s="44"/>
      <c r="T729" s="44"/>
      <c r="U729" s="18"/>
      <c r="Z729" s="18"/>
    </row>
    <row r="730" spans="9:26" x14ac:dyDescent="0.35">
      <c r="I730" s="44"/>
      <c r="P730" s="18"/>
      <c r="Q730" s="44"/>
      <c r="R730" s="83"/>
      <c r="S730" s="44"/>
      <c r="T730" s="44"/>
      <c r="U730" s="18"/>
      <c r="Z730" s="18"/>
    </row>
    <row r="731" spans="9:26" x14ac:dyDescent="0.35">
      <c r="I731" s="44"/>
      <c r="P731" s="18"/>
      <c r="Q731" s="44"/>
      <c r="R731" s="83"/>
      <c r="S731" s="44"/>
      <c r="T731" s="44"/>
      <c r="U731" s="18"/>
      <c r="Z731" s="18"/>
    </row>
    <row r="732" spans="9:26" x14ac:dyDescent="0.35">
      <c r="I732" s="44"/>
      <c r="P732" s="18"/>
      <c r="Q732" s="44"/>
      <c r="R732" s="83"/>
      <c r="S732" s="44"/>
      <c r="T732" s="44"/>
      <c r="U732" s="18"/>
      <c r="Z732" s="18"/>
    </row>
    <row r="733" spans="9:26" x14ac:dyDescent="0.35">
      <c r="I733" s="44"/>
      <c r="P733" s="18"/>
      <c r="Q733" s="44"/>
      <c r="R733" s="83"/>
      <c r="S733" s="44"/>
      <c r="T733" s="44"/>
      <c r="U733" s="18"/>
      <c r="Z733" s="18"/>
    </row>
    <row r="734" spans="9:26" x14ac:dyDescent="0.35">
      <c r="I734" s="44"/>
      <c r="P734" s="18"/>
      <c r="Q734" s="44"/>
      <c r="R734" s="83"/>
      <c r="S734" s="44"/>
      <c r="T734" s="44"/>
      <c r="U734" s="18"/>
      <c r="Z734" s="18"/>
    </row>
    <row r="735" spans="9:26" x14ac:dyDescent="0.35">
      <c r="I735" s="44"/>
      <c r="P735" s="18"/>
      <c r="Q735" s="44"/>
      <c r="R735" s="83"/>
      <c r="S735" s="44"/>
      <c r="T735" s="44"/>
      <c r="U735" s="18"/>
      <c r="Z735" s="18"/>
    </row>
    <row r="736" spans="9:26" x14ac:dyDescent="0.35">
      <c r="I736" s="44"/>
      <c r="P736" s="18"/>
      <c r="Q736" s="44"/>
      <c r="R736" s="83"/>
      <c r="S736" s="44"/>
      <c r="T736" s="44"/>
      <c r="U736" s="18"/>
      <c r="Z736" s="18"/>
    </row>
    <row r="737" spans="9:26" x14ac:dyDescent="0.35">
      <c r="I737" s="44"/>
      <c r="P737" s="18"/>
      <c r="Q737" s="44"/>
      <c r="R737" s="83"/>
      <c r="S737" s="44"/>
      <c r="T737" s="44"/>
      <c r="U737" s="18"/>
      <c r="Z737" s="18"/>
    </row>
    <row r="738" spans="9:26" x14ac:dyDescent="0.35">
      <c r="I738" s="44"/>
      <c r="P738" s="18"/>
      <c r="Q738" s="44"/>
      <c r="R738" s="83"/>
      <c r="S738" s="44"/>
      <c r="T738" s="44"/>
      <c r="U738" s="18"/>
      <c r="Z738" s="18"/>
    </row>
    <row r="739" spans="9:26" x14ac:dyDescent="0.35">
      <c r="I739" s="44"/>
      <c r="P739" s="18"/>
      <c r="Q739" s="44"/>
      <c r="R739" s="83"/>
      <c r="S739" s="44"/>
      <c r="T739" s="44"/>
      <c r="U739" s="18"/>
      <c r="Z739" s="18"/>
    </row>
    <row r="740" spans="9:26" x14ac:dyDescent="0.35">
      <c r="I740" s="44"/>
      <c r="P740" s="18"/>
      <c r="Q740" s="44"/>
      <c r="R740" s="83"/>
      <c r="S740" s="44"/>
      <c r="T740" s="44"/>
      <c r="U740" s="18"/>
      <c r="Z740" s="18"/>
    </row>
    <row r="741" spans="9:26" x14ac:dyDescent="0.35">
      <c r="I741" s="44"/>
      <c r="P741" s="18"/>
      <c r="Q741" s="44"/>
      <c r="R741" s="83"/>
      <c r="S741" s="44"/>
      <c r="T741" s="44"/>
      <c r="U741" s="18"/>
      <c r="Z741" s="18"/>
    </row>
    <row r="742" spans="9:26" x14ac:dyDescent="0.35">
      <c r="I742" s="44"/>
      <c r="P742" s="18"/>
      <c r="Q742" s="44"/>
      <c r="R742" s="83"/>
      <c r="S742" s="44"/>
      <c r="T742" s="44"/>
      <c r="U742" s="18"/>
      <c r="Z742" s="18"/>
    </row>
    <row r="743" spans="9:26" x14ac:dyDescent="0.35">
      <c r="I743" s="44"/>
      <c r="P743" s="18"/>
      <c r="Q743" s="44"/>
      <c r="R743" s="83"/>
      <c r="S743" s="44"/>
      <c r="T743" s="44"/>
      <c r="U743" s="18"/>
      <c r="Z743" s="18"/>
    </row>
    <row r="744" spans="9:26" x14ac:dyDescent="0.35">
      <c r="I744" s="44"/>
      <c r="P744" s="18"/>
      <c r="Q744" s="44"/>
      <c r="R744" s="83"/>
      <c r="S744" s="44"/>
      <c r="T744" s="44"/>
      <c r="U744" s="18"/>
      <c r="Z744" s="18"/>
    </row>
    <row r="745" spans="9:26" x14ac:dyDescent="0.35">
      <c r="I745" s="44"/>
      <c r="P745" s="18"/>
      <c r="Q745" s="44"/>
      <c r="R745" s="83"/>
      <c r="S745" s="44"/>
      <c r="T745" s="44"/>
      <c r="U745" s="18"/>
      <c r="Z745" s="18"/>
    </row>
    <row r="746" spans="9:26" x14ac:dyDescent="0.35">
      <c r="I746" s="44"/>
      <c r="P746" s="18"/>
      <c r="Q746" s="44"/>
      <c r="R746" s="83"/>
      <c r="S746" s="44"/>
      <c r="T746" s="44"/>
      <c r="U746" s="18"/>
      <c r="Z746" s="18"/>
    </row>
    <row r="747" spans="9:26" x14ac:dyDescent="0.35">
      <c r="I747" s="44"/>
      <c r="P747" s="18"/>
      <c r="Q747" s="44"/>
      <c r="R747" s="83"/>
      <c r="S747" s="44"/>
      <c r="T747" s="44"/>
      <c r="U747" s="18"/>
      <c r="Z747" s="18"/>
    </row>
    <row r="748" spans="9:26" x14ac:dyDescent="0.35">
      <c r="I748" s="44"/>
      <c r="P748" s="18"/>
      <c r="Q748" s="44"/>
      <c r="R748" s="83"/>
      <c r="S748" s="44"/>
      <c r="T748" s="44"/>
      <c r="U748" s="18"/>
      <c r="Z748" s="18"/>
    </row>
    <row r="749" spans="9:26" x14ac:dyDescent="0.35">
      <c r="I749" s="44"/>
      <c r="P749" s="18"/>
      <c r="Q749" s="44"/>
      <c r="R749" s="83"/>
      <c r="S749" s="44"/>
      <c r="T749" s="44"/>
      <c r="U749" s="18"/>
      <c r="Z749" s="18"/>
    </row>
    <row r="750" spans="9:26" x14ac:dyDescent="0.35">
      <c r="I750" s="44"/>
      <c r="P750" s="18"/>
      <c r="Q750" s="44"/>
      <c r="R750" s="83"/>
      <c r="S750" s="44"/>
      <c r="T750" s="44"/>
      <c r="U750" s="18"/>
      <c r="Z750" s="18"/>
    </row>
    <row r="751" spans="9:26" x14ac:dyDescent="0.35">
      <c r="I751" s="44"/>
      <c r="P751" s="18"/>
      <c r="Q751" s="44"/>
      <c r="R751" s="83"/>
      <c r="S751" s="44"/>
      <c r="T751" s="44"/>
      <c r="U751" s="18"/>
      <c r="Z751" s="18"/>
    </row>
    <row r="752" spans="9:26" x14ac:dyDescent="0.35">
      <c r="I752" s="44"/>
      <c r="P752" s="18"/>
      <c r="Q752" s="44"/>
      <c r="R752" s="83"/>
      <c r="S752" s="44"/>
      <c r="T752" s="44"/>
      <c r="U752" s="18"/>
      <c r="Z752" s="18"/>
    </row>
    <row r="753" spans="9:26" x14ac:dyDescent="0.35">
      <c r="I753" s="44"/>
      <c r="P753" s="18"/>
      <c r="Q753" s="44"/>
      <c r="R753" s="83"/>
      <c r="S753" s="44"/>
      <c r="T753" s="44"/>
      <c r="U753" s="18"/>
      <c r="Z753" s="18"/>
    </row>
    <row r="754" spans="9:26" x14ac:dyDescent="0.35">
      <c r="I754" s="44"/>
      <c r="P754" s="18"/>
      <c r="Q754" s="44"/>
      <c r="R754" s="83"/>
      <c r="S754" s="44"/>
      <c r="T754" s="44"/>
      <c r="U754" s="18"/>
      <c r="Z754" s="18"/>
    </row>
    <row r="755" spans="9:26" x14ac:dyDescent="0.35">
      <c r="I755" s="44"/>
      <c r="P755" s="18"/>
      <c r="Q755" s="44"/>
      <c r="R755" s="83"/>
      <c r="S755" s="44"/>
      <c r="T755" s="44"/>
      <c r="U755" s="18"/>
      <c r="Z755" s="18"/>
    </row>
    <row r="756" spans="9:26" x14ac:dyDescent="0.35">
      <c r="I756" s="44"/>
      <c r="P756" s="18"/>
      <c r="Q756" s="44"/>
      <c r="R756" s="83"/>
      <c r="S756" s="44"/>
      <c r="T756" s="44"/>
      <c r="U756" s="18"/>
      <c r="Z756" s="18"/>
    </row>
    <row r="757" spans="9:26" x14ac:dyDescent="0.35">
      <c r="I757" s="44"/>
      <c r="P757" s="18"/>
      <c r="Q757" s="44"/>
      <c r="R757" s="83"/>
      <c r="S757" s="44"/>
      <c r="T757" s="44"/>
      <c r="U757" s="18"/>
      <c r="Z757" s="18"/>
    </row>
    <row r="758" spans="9:26" x14ac:dyDescent="0.35">
      <c r="I758" s="44"/>
      <c r="P758" s="18"/>
      <c r="Q758" s="44"/>
      <c r="R758" s="83"/>
      <c r="S758" s="44"/>
      <c r="T758" s="44"/>
      <c r="U758" s="18"/>
      <c r="Z758" s="18"/>
    </row>
    <row r="759" spans="9:26" x14ac:dyDescent="0.35">
      <c r="I759" s="44"/>
      <c r="P759" s="18"/>
      <c r="Q759" s="44"/>
      <c r="R759" s="83"/>
      <c r="S759" s="44"/>
      <c r="T759" s="44"/>
      <c r="U759" s="18"/>
      <c r="Z759" s="18"/>
    </row>
    <row r="760" spans="9:26" x14ac:dyDescent="0.35">
      <c r="I760" s="44"/>
      <c r="P760" s="18"/>
      <c r="Q760" s="44"/>
      <c r="R760" s="83"/>
      <c r="S760" s="44"/>
      <c r="T760" s="44"/>
      <c r="U760" s="18"/>
      <c r="Z760" s="18"/>
    </row>
    <row r="761" spans="9:26" x14ac:dyDescent="0.35">
      <c r="I761" s="44"/>
      <c r="P761" s="18"/>
      <c r="Q761" s="44"/>
      <c r="R761" s="83"/>
      <c r="S761" s="44"/>
      <c r="T761" s="44"/>
      <c r="U761" s="18"/>
      <c r="Z761" s="18"/>
    </row>
    <row r="762" spans="9:26" x14ac:dyDescent="0.35">
      <c r="I762" s="44"/>
      <c r="P762" s="18"/>
      <c r="Q762" s="44"/>
      <c r="R762" s="83"/>
      <c r="S762" s="44"/>
      <c r="T762" s="44"/>
      <c r="U762" s="18"/>
      <c r="Z762" s="18"/>
    </row>
    <row r="763" spans="9:26" x14ac:dyDescent="0.35">
      <c r="I763" s="44"/>
      <c r="P763" s="18"/>
      <c r="Q763" s="44"/>
      <c r="R763" s="83"/>
      <c r="S763" s="44"/>
      <c r="T763" s="44"/>
      <c r="U763" s="18"/>
      <c r="Z763" s="18"/>
    </row>
    <row r="764" spans="9:26" x14ac:dyDescent="0.35">
      <c r="I764" s="44"/>
      <c r="P764" s="18"/>
      <c r="Q764" s="44"/>
      <c r="R764" s="83"/>
      <c r="S764" s="44"/>
      <c r="T764" s="44"/>
      <c r="U764" s="18"/>
      <c r="Z764" s="18"/>
    </row>
    <row r="765" spans="9:26" x14ac:dyDescent="0.35">
      <c r="I765" s="44"/>
      <c r="P765" s="18"/>
      <c r="Q765" s="44"/>
      <c r="R765" s="83"/>
      <c r="S765" s="44"/>
      <c r="T765" s="44"/>
      <c r="U765" s="18"/>
      <c r="Z765" s="18"/>
    </row>
    <row r="766" spans="9:26" x14ac:dyDescent="0.35">
      <c r="I766" s="44"/>
      <c r="P766" s="18"/>
      <c r="Q766" s="44"/>
      <c r="R766" s="83"/>
      <c r="S766" s="44"/>
      <c r="T766" s="44"/>
      <c r="U766" s="18"/>
      <c r="Z766" s="18"/>
    </row>
    <row r="767" spans="9:26" x14ac:dyDescent="0.35">
      <c r="I767" s="44"/>
      <c r="P767" s="18"/>
      <c r="Q767" s="44"/>
      <c r="R767" s="83"/>
      <c r="S767" s="44"/>
      <c r="T767" s="44"/>
      <c r="U767" s="18"/>
      <c r="Z767" s="18"/>
    </row>
    <row r="768" spans="9:26" x14ac:dyDescent="0.35">
      <c r="I768" s="44"/>
      <c r="P768" s="18"/>
      <c r="Q768" s="44"/>
      <c r="R768" s="83"/>
      <c r="S768" s="44"/>
      <c r="T768" s="44"/>
      <c r="U768" s="18"/>
      <c r="Z768" s="18"/>
    </row>
    <row r="769" spans="9:26" x14ac:dyDescent="0.35">
      <c r="I769" s="44"/>
      <c r="P769" s="18"/>
      <c r="Q769" s="44"/>
      <c r="R769" s="83"/>
      <c r="S769" s="44"/>
      <c r="T769" s="44"/>
      <c r="U769" s="18"/>
      <c r="Z769" s="18"/>
    </row>
    <row r="770" spans="9:26" x14ac:dyDescent="0.35">
      <c r="I770" s="44"/>
      <c r="P770" s="18"/>
      <c r="Q770" s="44"/>
      <c r="R770" s="83"/>
      <c r="S770" s="44"/>
      <c r="T770" s="44"/>
      <c r="U770" s="18"/>
      <c r="Z770" s="18"/>
    </row>
    <row r="771" spans="9:26" x14ac:dyDescent="0.35">
      <c r="I771" s="44"/>
      <c r="P771" s="18"/>
      <c r="Q771" s="44"/>
      <c r="R771" s="83"/>
      <c r="S771" s="44"/>
      <c r="T771" s="44"/>
      <c r="U771" s="18"/>
      <c r="Z771" s="18"/>
    </row>
    <row r="772" spans="9:26" x14ac:dyDescent="0.35">
      <c r="I772" s="44"/>
      <c r="P772" s="18"/>
      <c r="Q772" s="44"/>
      <c r="R772" s="83"/>
      <c r="S772" s="44"/>
      <c r="T772" s="44"/>
      <c r="U772" s="18"/>
      <c r="Z772" s="18"/>
    </row>
    <row r="773" spans="9:26" x14ac:dyDescent="0.35">
      <c r="I773" s="44"/>
      <c r="P773" s="18"/>
      <c r="Q773" s="44"/>
      <c r="R773" s="83"/>
      <c r="S773" s="44"/>
      <c r="T773" s="44"/>
      <c r="U773" s="18"/>
      <c r="Z773" s="18"/>
    </row>
    <row r="774" spans="9:26" x14ac:dyDescent="0.35">
      <c r="I774" s="44"/>
      <c r="P774" s="18"/>
      <c r="Q774" s="44"/>
      <c r="R774" s="83"/>
      <c r="S774" s="44"/>
      <c r="T774" s="44"/>
      <c r="U774" s="18"/>
      <c r="Z774" s="18"/>
    </row>
    <row r="775" spans="9:26" x14ac:dyDescent="0.35">
      <c r="I775" s="44"/>
      <c r="P775" s="18"/>
      <c r="Q775" s="44"/>
      <c r="R775" s="83"/>
      <c r="S775" s="44"/>
      <c r="T775" s="44"/>
      <c r="U775" s="18"/>
      <c r="Z775" s="18"/>
    </row>
    <row r="776" spans="9:26" x14ac:dyDescent="0.35">
      <c r="I776" s="44"/>
      <c r="P776" s="18"/>
      <c r="Q776" s="44"/>
      <c r="R776" s="83"/>
      <c r="S776" s="44"/>
      <c r="T776" s="44"/>
      <c r="U776" s="18"/>
      <c r="Z776" s="18"/>
    </row>
    <row r="777" spans="9:26" x14ac:dyDescent="0.35">
      <c r="I777" s="44"/>
      <c r="P777" s="18"/>
      <c r="Q777" s="44"/>
      <c r="R777" s="83"/>
      <c r="S777" s="44"/>
      <c r="T777" s="44"/>
      <c r="U777" s="18"/>
      <c r="Z777" s="18"/>
    </row>
    <row r="778" spans="9:26" x14ac:dyDescent="0.35">
      <c r="I778" s="44"/>
      <c r="P778" s="18"/>
      <c r="Q778" s="44"/>
      <c r="R778" s="83"/>
      <c r="S778" s="44"/>
      <c r="T778" s="44"/>
      <c r="U778" s="18"/>
      <c r="Z778" s="18"/>
    </row>
    <row r="779" spans="9:26" x14ac:dyDescent="0.35">
      <c r="I779" s="44"/>
      <c r="P779" s="18"/>
      <c r="Q779" s="44"/>
      <c r="R779" s="83"/>
      <c r="S779" s="44"/>
      <c r="T779" s="44"/>
      <c r="U779" s="18"/>
      <c r="Z779" s="18"/>
    </row>
    <row r="780" spans="9:26" x14ac:dyDescent="0.35">
      <c r="I780" s="44"/>
      <c r="P780" s="18"/>
      <c r="Q780" s="44"/>
      <c r="R780" s="83"/>
      <c r="S780" s="44"/>
      <c r="T780" s="44"/>
      <c r="U780" s="18"/>
      <c r="Z780" s="18"/>
    </row>
    <row r="781" spans="9:26" x14ac:dyDescent="0.35">
      <c r="I781" s="44"/>
      <c r="P781" s="18"/>
      <c r="Q781" s="44"/>
      <c r="R781" s="83"/>
      <c r="S781" s="44"/>
      <c r="T781" s="44"/>
      <c r="U781" s="18"/>
      <c r="Z781" s="18"/>
    </row>
    <row r="782" spans="9:26" x14ac:dyDescent="0.35">
      <c r="I782" s="44"/>
      <c r="P782" s="18"/>
      <c r="Q782" s="44"/>
      <c r="R782" s="83"/>
      <c r="S782" s="44"/>
      <c r="T782" s="44"/>
      <c r="U782" s="18"/>
      <c r="Z782" s="18"/>
    </row>
    <row r="783" spans="9:26" x14ac:dyDescent="0.35">
      <c r="I783" s="44"/>
      <c r="P783" s="18"/>
      <c r="Q783" s="44"/>
      <c r="R783" s="83"/>
      <c r="S783" s="44"/>
      <c r="T783" s="44"/>
      <c r="U783" s="18"/>
      <c r="Z783" s="18"/>
    </row>
    <row r="784" spans="9:26" x14ac:dyDescent="0.35">
      <c r="I784" s="44"/>
      <c r="P784" s="18"/>
      <c r="Q784" s="44"/>
      <c r="R784" s="83"/>
      <c r="S784" s="44"/>
      <c r="T784" s="44"/>
      <c r="U784" s="18"/>
      <c r="Z784" s="18"/>
    </row>
    <row r="785" spans="9:26" x14ac:dyDescent="0.35">
      <c r="I785" s="44"/>
      <c r="P785" s="18"/>
      <c r="Q785" s="44"/>
      <c r="R785" s="83"/>
      <c r="S785" s="44"/>
      <c r="T785" s="44"/>
      <c r="U785" s="18"/>
      <c r="Z785" s="18"/>
    </row>
    <row r="786" spans="9:26" x14ac:dyDescent="0.35">
      <c r="I786" s="44"/>
      <c r="P786" s="18"/>
      <c r="Q786" s="44"/>
      <c r="R786" s="83"/>
      <c r="S786" s="44"/>
      <c r="T786" s="44"/>
      <c r="U786" s="18"/>
      <c r="Z786" s="18"/>
    </row>
    <row r="787" spans="9:26" x14ac:dyDescent="0.35">
      <c r="I787" s="44"/>
      <c r="Q787" s="44"/>
      <c r="R787" s="83"/>
      <c r="S787" s="44"/>
      <c r="T787" s="44"/>
    </row>
    <row r="788" spans="9:26" x14ac:dyDescent="0.35">
      <c r="I788" s="44"/>
      <c r="Q788" s="44"/>
      <c r="R788" s="83"/>
      <c r="S788" s="44"/>
      <c r="T788" s="44"/>
    </row>
    <row r="789" spans="9:26" x14ac:dyDescent="0.35">
      <c r="I789" s="44"/>
      <c r="Q789" s="44"/>
      <c r="R789" s="83"/>
      <c r="S789" s="44"/>
      <c r="T789" s="44"/>
    </row>
    <row r="790" spans="9:26" x14ac:dyDescent="0.35">
      <c r="I790" s="44"/>
      <c r="Q790" s="44"/>
      <c r="R790" s="83"/>
      <c r="S790" s="44"/>
      <c r="T790" s="44"/>
    </row>
    <row r="791" spans="9:26" x14ac:dyDescent="0.35">
      <c r="I791" s="44"/>
      <c r="Q791" s="44"/>
      <c r="R791" s="83"/>
      <c r="S791" s="44"/>
      <c r="T791" s="44"/>
    </row>
    <row r="792" spans="9:26" x14ac:dyDescent="0.35">
      <c r="I792" s="44"/>
      <c r="Q792" s="44"/>
      <c r="R792" s="83"/>
      <c r="S792" s="44"/>
      <c r="T792" s="44"/>
    </row>
    <row r="793" spans="9:26" x14ac:dyDescent="0.35">
      <c r="I793" s="44"/>
      <c r="Q793" s="44"/>
      <c r="R793" s="83"/>
      <c r="S793" s="44"/>
      <c r="T793" s="44"/>
    </row>
    <row r="794" spans="9:26" x14ac:dyDescent="0.35">
      <c r="I794" s="44"/>
      <c r="Q794" s="44"/>
      <c r="R794" s="83"/>
      <c r="S794" s="44"/>
      <c r="T794" s="44"/>
    </row>
    <row r="795" spans="9:26" x14ac:dyDescent="0.35">
      <c r="I795" s="44"/>
      <c r="Q795" s="44"/>
      <c r="R795" s="83"/>
      <c r="S795" s="44"/>
      <c r="T795" s="44"/>
    </row>
    <row r="796" spans="9:26" x14ac:dyDescent="0.35">
      <c r="I796" s="44"/>
      <c r="Q796" s="44"/>
      <c r="R796" s="83"/>
      <c r="S796" s="44"/>
      <c r="T796" s="44"/>
    </row>
    <row r="797" spans="9:26" x14ac:dyDescent="0.35">
      <c r="I797" s="44"/>
      <c r="Q797" s="44"/>
      <c r="R797" s="83"/>
      <c r="S797" s="44"/>
      <c r="T797" s="44"/>
    </row>
    <row r="798" spans="9:26" x14ac:dyDescent="0.35">
      <c r="I798" s="44"/>
      <c r="Q798" s="44"/>
      <c r="R798" s="83"/>
      <c r="S798" s="44"/>
      <c r="T798" s="44"/>
    </row>
    <row r="799" spans="9:26" x14ac:dyDescent="0.35">
      <c r="I799" s="44"/>
      <c r="Q799" s="44"/>
      <c r="R799" s="83"/>
      <c r="S799" s="44"/>
      <c r="T799" s="44"/>
    </row>
    <row r="800" spans="9:26" x14ac:dyDescent="0.35">
      <c r="I800" s="44"/>
      <c r="Q800" s="44"/>
      <c r="R800" s="83"/>
      <c r="S800" s="44"/>
      <c r="T800" s="44"/>
    </row>
    <row r="801" spans="9:20" x14ac:dyDescent="0.35">
      <c r="I801" s="44"/>
      <c r="Q801" s="44"/>
      <c r="R801" s="83"/>
      <c r="S801" s="44"/>
      <c r="T801" s="44"/>
    </row>
    <row r="802" spans="9:20" x14ac:dyDescent="0.35">
      <c r="I802" s="44"/>
      <c r="Q802" s="44"/>
      <c r="R802" s="83"/>
      <c r="S802" s="44"/>
      <c r="T802" s="44"/>
    </row>
    <row r="803" spans="9:20" x14ac:dyDescent="0.35">
      <c r="I803" s="44"/>
      <c r="Q803" s="44"/>
      <c r="R803" s="83"/>
      <c r="S803" s="44"/>
      <c r="T803" s="44"/>
    </row>
    <row r="804" spans="9:20" x14ac:dyDescent="0.35">
      <c r="I804" s="44"/>
      <c r="Q804" s="44"/>
      <c r="R804" s="83"/>
      <c r="S804" s="44"/>
      <c r="T804" s="44"/>
    </row>
    <row r="805" spans="9:20" x14ac:dyDescent="0.35">
      <c r="I805" s="44"/>
      <c r="Q805" s="44"/>
      <c r="R805" s="83"/>
      <c r="S805" s="44"/>
      <c r="T805" s="44"/>
    </row>
    <row r="806" spans="9:20" x14ac:dyDescent="0.35">
      <c r="I806" s="44"/>
      <c r="Q806" s="44"/>
      <c r="R806" s="83"/>
      <c r="S806" s="44"/>
      <c r="T806" s="44"/>
    </row>
    <row r="807" spans="9:20" x14ac:dyDescent="0.35">
      <c r="I807" s="44"/>
      <c r="Q807" s="44"/>
      <c r="R807" s="83"/>
      <c r="S807" s="44"/>
      <c r="T807" s="44"/>
    </row>
    <row r="808" spans="9:20" x14ac:dyDescent="0.35">
      <c r="I808" s="44"/>
      <c r="Q808" s="44"/>
      <c r="R808" s="83"/>
      <c r="S808" s="44"/>
      <c r="T808" s="44"/>
    </row>
    <row r="809" spans="9:20" x14ac:dyDescent="0.35">
      <c r="I809" s="44"/>
      <c r="Q809" s="44"/>
      <c r="R809" s="83"/>
      <c r="S809" s="44"/>
      <c r="T809" s="44"/>
    </row>
    <row r="810" spans="9:20" x14ac:dyDescent="0.35">
      <c r="I810" s="44"/>
      <c r="Q810" s="44"/>
      <c r="R810" s="83"/>
      <c r="S810" s="44"/>
      <c r="T810" s="44"/>
    </row>
    <row r="811" spans="9:20" x14ac:dyDescent="0.35">
      <c r="I811" s="44"/>
      <c r="Q811" s="44"/>
      <c r="R811" s="83"/>
      <c r="S811" s="44"/>
      <c r="T811" s="44"/>
    </row>
    <row r="812" spans="9:20" x14ac:dyDescent="0.35">
      <c r="I812" s="44"/>
      <c r="Q812" s="44"/>
      <c r="R812" s="83"/>
      <c r="S812" s="44"/>
      <c r="T812" s="44"/>
    </row>
    <row r="813" spans="9:20" x14ac:dyDescent="0.35">
      <c r="I813" s="44"/>
      <c r="Q813" s="44"/>
      <c r="R813" s="83"/>
      <c r="S813" s="44"/>
      <c r="T813" s="44"/>
    </row>
    <row r="814" spans="9:20" x14ac:dyDescent="0.35">
      <c r="I814" s="44"/>
      <c r="Q814" s="44"/>
      <c r="R814" s="83"/>
      <c r="S814" s="44"/>
      <c r="T814" s="44"/>
    </row>
    <row r="815" spans="9:20" x14ac:dyDescent="0.35">
      <c r="I815" s="44"/>
      <c r="Q815" s="44"/>
      <c r="R815" s="83"/>
      <c r="S815" s="44"/>
      <c r="T815" s="44"/>
    </row>
    <row r="816" spans="9:20" x14ac:dyDescent="0.35">
      <c r="I816" s="44"/>
      <c r="Q816" s="44"/>
      <c r="R816" s="83"/>
      <c r="S816" s="44"/>
      <c r="T816" s="44"/>
    </row>
    <row r="817" spans="9:20" x14ac:dyDescent="0.35">
      <c r="I817" s="44"/>
      <c r="Q817" s="44"/>
      <c r="R817" s="83"/>
      <c r="S817" s="44"/>
      <c r="T817" s="44"/>
    </row>
    <row r="818" spans="9:20" x14ac:dyDescent="0.35">
      <c r="I818" s="44"/>
      <c r="Q818" s="44"/>
      <c r="R818" s="83"/>
      <c r="S818" s="44"/>
      <c r="T818" s="44"/>
    </row>
    <row r="819" spans="9:20" x14ac:dyDescent="0.35">
      <c r="I819" s="44"/>
      <c r="Q819" s="44"/>
      <c r="R819" s="83"/>
      <c r="S819" s="44"/>
      <c r="T819" s="44"/>
    </row>
    <row r="820" spans="9:20" x14ac:dyDescent="0.35">
      <c r="I820" s="44"/>
      <c r="Q820" s="44"/>
      <c r="R820" s="83"/>
      <c r="S820" s="44"/>
      <c r="T820" s="44"/>
    </row>
    <row r="821" spans="9:20" x14ac:dyDescent="0.35">
      <c r="I821" s="44"/>
      <c r="Q821" s="44"/>
      <c r="R821" s="83"/>
      <c r="S821" s="44"/>
      <c r="T821" s="44"/>
    </row>
    <row r="822" spans="9:20" x14ac:dyDescent="0.35">
      <c r="I822" s="44"/>
      <c r="Q822" s="44"/>
      <c r="R822" s="83"/>
      <c r="S822" s="44"/>
      <c r="T822" s="44"/>
    </row>
    <row r="823" spans="9:20" x14ac:dyDescent="0.35">
      <c r="I823" s="44"/>
      <c r="Q823" s="44"/>
      <c r="R823" s="83"/>
      <c r="S823" s="44"/>
      <c r="T823" s="44"/>
    </row>
    <row r="824" spans="9:20" x14ac:dyDescent="0.35">
      <c r="I824" s="44"/>
      <c r="Q824" s="44"/>
      <c r="R824" s="83"/>
      <c r="S824" s="44"/>
      <c r="T824" s="44"/>
    </row>
    <row r="825" spans="9:20" x14ac:dyDescent="0.35">
      <c r="I825" s="44"/>
      <c r="Q825" s="44"/>
      <c r="R825" s="83"/>
      <c r="S825" s="44"/>
      <c r="T825" s="44"/>
    </row>
    <row r="826" spans="9:20" x14ac:dyDescent="0.35">
      <c r="I826" s="44"/>
      <c r="Q826" s="44"/>
      <c r="R826" s="83"/>
      <c r="S826" s="44"/>
      <c r="T826" s="44"/>
    </row>
    <row r="827" spans="9:20" x14ac:dyDescent="0.35">
      <c r="I827" s="44"/>
      <c r="Q827" s="44"/>
      <c r="R827" s="83"/>
      <c r="S827" s="44"/>
      <c r="T827" s="44"/>
    </row>
    <row r="828" spans="9:20" x14ac:dyDescent="0.35">
      <c r="I828" s="44"/>
      <c r="Q828" s="44"/>
      <c r="R828" s="83"/>
      <c r="S828" s="44"/>
      <c r="T828" s="44"/>
    </row>
    <row r="829" spans="9:20" x14ac:dyDescent="0.35">
      <c r="I829" s="44"/>
      <c r="Q829" s="44"/>
      <c r="R829" s="83"/>
      <c r="S829" s="44"/>
      <c r="T829" s="44"/>
    </row>
    <row r="830" spans="9:20" x14ac:dyDescent="0.35">
      <c r="I830" s="44"/>
      <c r="Q830" s="44"/>
      <c r="R830" s="83"/>
      <c r="S830" s="44"/>
      <c r="T830" s="44"/>
    </row>
    <row r="831" spans="9:20" x14ac:dyDescent="0.35">
      <c r="I831" s="44"/>
      <c r="Q831" s="44"/>
      <c r="R831" s="83"/>
      <c r="S831" s="44"/>
      <c r="T831" s="44"/>
    </row>
    <row r="832" spans="9:20" x14ac:dyDescent="0.35">
      <c r="I832" s="44"/>
      <c r="Q832" s="44"/>
      <c r="R832" s="83"/>
      <c r="S832" s="44"/>
      <c r="T832" s="44"/>
    </row>
    <row r="833" spans="9:20" x14ac:dyDescent="0.35">
      <c r="I833" s="44"/>
      <c r="Q833" s="44"/>
      <c r="R833" s="83"/>
      <c r="S833" s="44"/>
      <c r="T833" s="44"/>
    </row>
    <row r="834" spans="9:20" x14ac:dyDescent="0.35">
      <c r="I834" s="44"/>
      <c r="Q834" s="44"/>
      <c r="R834" s="83"/>
      <c r="S834" s="44"/>
      <c r="T834" s="44"/>
    </row>
    <row r="835" spans="9:20" x14ac:dyDescent="0.35">
      <c r="I835" s="44"/>
      <c r="Q835" s="44"/>
      <c r="R835" s="83"/>
      <c r="S835" s="44"/>
      <c r="T835" s="44"/>
    </row>
    <row r="836" spans="9:20" x14ac:dyDescent="0.35">
      <c r="I836" s="44"/>
      <c r="Q836" s="44"/>
      <c r="R836" s="83"/>
      <c r="S836" s="44"/>
      <c r="T836" s="44"/>
    </row>
    <row r="837" spans="9:20" x14ac:dyDescent="0.35">
      <c r="I837" s="44"/>
      <c r="Q837" s="44"/>
      <c r="R837" s="83"/>
      <c r="S837" s="44"/>
      <c r="T837" s="44"/>
    </row>
    <row r="838" spans="9:20" x14ac:dyDescent="0.35">
      <c r="I838" s="44"/>
      <c r="Q838" s="44"/>
      <c r="R838" s="83"/>
      <c r="S838" s="44"/>
      <c r="T838" s="44"/>
    </row>
    <row r="839" spans="9:20" x14ac:dyDescent="0.35">
      <c r="I839" s="44"/>
      <c r="Q839" s="44"/>
      <c r="R839" s="83"/>
      <c r="S839" s="44"/>
      <c r="T839" s="44"/>
    </row>
    <row r="840" spans="9:20" x14ac:dyDescent="0.35">
      <c r="I840" s="44"/>
      <c r="Q840" s="44"/>
      <c r="R840" s="83"/>
      <c r="S840" s="44"/>
      <c r="T840" s="44"/>
    </row>
    <row r="841" spans="9:20" x14ac:dyDescent="0.35">
      <c r="I841" s="44"/>
      <c r="Q841" s="44"/>
      <c r="R841" s="83"/>
      <c r="S841" s="44"/>
      <c r="T841" s="44"/>
    </row>
    <row r="842" spans="9:20" x14ac:dyDescent="0.35">
      <c r="I842" s="44"/>
      <c r="Q842" s="44"/>
      <c r="R842" s="83"/>
      <c r="S842" s="44"/>
      <c r="T842" s="44"/>
    </row>
    <row r="843" spans="9:20" x14ac:dyDescent="0.35">
      <c r="I843" s="44"/>
      <c r="Q843" s="44"/>
      <c r="R843" s="83"/>
      <c r="S843" s="44"/>
      <c r="T843" s="44"/>
    </row>
    <row r="844" spans="9:20" x14ac:dyDescent="0.35">
      <c r="I844" s="44"/>
      <c r="Q844" s="44"/>
      <c r="R844" s="83"/>
      <c r="S844" s="44"/>
      <c r="T844" s="44"/>
    </row>
    <row r="845" spans="9:20" x14ac:dyDescent="0.35">
      <c r="I845" s="44"/>
      <c r="Q845" s="44"/>
      <c r="R845" s="83"/>
      <c r="S845" s="44"/>
      <c r="T845" s="44"/>
    </row>
    <row r="846" spans="9:20" x14ac:dyDescent="0.35">
      <c r="I846" s="44"/>
      <c r="Q846" s="44"/>
      <c r="R846" s="83"/>
      <c r="S846" s="44"/>
      <c r="T846" s="44"/>
    </row>
    <row r="847" spans="9:20" x14ac:dyDescent="0.35">
      <c r="I847" s="44"/>
      <c r="Q847" s="44"/>
      <c r="R847" s="83"/>
      <c r="S847" s="44"/>
      <c r="T847" s="44"/>
    </row>
    <row r="848" spans="9:20" x14ac:dyDescent="0.35">
      <c r="I848" s="44"/>
      <c r="Q848" s="44"/>
      <c r="R848" s="83"/>
      <c r="S848" s="44"/>
      <c r="T848" s="44"/>
    </row>
    <row r="849" spans="9:20" x14ac:dyDescent="0.35">
      <c r="I849" s="44"/>
      <c r="Q849" s="44"/>
      <c r="R849" s="83"/>
      <c r="S849" s="44"/>
      <c r="T849" s="44"/>
    </row>
    <row r="850" spans="9:20" x14ac:dyDescent="0.35">
      <c r="I850" s="44"/>
      <c r="Q850" s="44"/>
      <c r="R850" s="83"/>
      <c r="S850" s="44"/>
      <c r="T850" s="44"/>
    </row>
    <row r="851" spans="9:20" x14ac:dyDescent="0.35">
      <c r="I851" s="44"/>
      <c r="Q851" s="44"/>
      <c r="R851" s="83"/>
      <c r="S851" s="44"/>
      <c r="T851" s="44"/>
    </row>
    <row r="852" spans="9:20" x14ac:dyDescent="0.35">
      <c r="I852" s="44"/>
      <c r="Q852" s="44"/>
      <c r="R852" s="83"/>
      <c r="S852" s="44"/>
      <c r="T852" s="44"/>
    </row>
    <row r="853" spans="9:20" x14ac:dyDescent="0.35">
      <c r="I853" s="44"/>
      <c r="Q853" s="44"/>
      <c r="R853" s="83"/>
      <c r="S853" s="44"/>
      <c r="T853" s="44"/>
    </row>
    <row r="854" spans="9:20" x14ac:dyDescent="0.35">
      <c r="I854" s="44"/>
      <c r="Q854" s="44"/>
      <c r="R854" s="83"/>
      <c r="S854" s="44"/>
      <c r="T854" s="44"/>
    </row>
    <row r="855" spans="9:20" x14ac:dyDescent="0.35">
      <c r="Q855" s="44"/>
      <c r="R855" s="83"/>
      <c r="S855" s="44"/>
      <c r="T855" s="44"/>
    </row>
    <row r="856" spans="9:20" x14ac:dyDescent="0.35">
      <c r="Q856" s="44"/>
      <c r="R856" s="83"/>
      <c r="S856" s="44"/>
      <c r="T856" s="44"/>
    </row>
    <row r="857" spans="9:20" x14ac:dyDescent="0.35">
      <c r="Q857" s="44"/>
      <c r="R857" s="83"/>
      <c r="S857" s="44"/>
      <c r="T857" s="44"/>
    </row>
    <row r="858" spans="9:20" x14ac:dyDescent="0.35">
      <c r="Q858" s="44"/>
      <c r="R858" s="83"/>
      <c r="S858" s="44"/>
      <c r="T858" s="44"/>
    </row>
    <row r="859" spans="9:20" x14ac:dyDescent="0.35">
      <c r="Q859" s="44"/>
      <c r="R859" s="83"/>
      <c r="S859" s="44"/>
      <c r="T859" s="44"/>
    </row>
    <row r="860" spans="9:20" x14ac:dyDescent="0.35">
      <c r="Q860" s="44"/>
      <c r="R860" s="83"/>
      <c r="S860" s="44"/>
      <c r="T860" s="44"/>
    </row>
    <row r="861" spans="9:20" x14ac:dyDescent="0.35">
      <c r="Q861" s="44"/>
      <c r="R861" s="83"/>
      <c r="S861" s="44"/>
      <c r="T861" s="44"/>
    </row>
    <row r="862" spans="9:20" x14ac:dyDescent="0.35">
      <c r="Q862" s="44"/>
      <c r="R862" s="83"/>
      <c r="S862" s="44"/>
      <c r="T862" s="44"/>
    </row>
    <row r="863" spans="9:20" x14ac:dyDescent="0.35">
      <c r="Q863" s="44"/>
      <c r="R863" s="83"/>
      <c r="S863" s="44"/>
      <c r="T863" s="44"/>
    </row>
    <row r="864" spans="9:20" x14ac:dyDescent="0.35">
      <c r="Q864" s="44"/>
      <c r="R864" s="83"/>
      <c r="S864" s="44"/>
      <c r="T864" s="44"/>
    </row>
    <row r="865" spans="17:20" x14ac:dyDescent="0.35">
      <c r="Q865" s="44"/>
      <c r="R865" s="83"/>
      <c r="S865" s="44"/>
      <c r="T865" s="44"/>
    </row>
    <row r="866" spans="17:20" x14ac:dyDescent="0.35">
      <c r="Q866" s="44"/>
      <c r="R866" s="83"/>
      <c r="S866" s="44"/>
      <c r="T866" s="44"/>
    </row>
    <row r="867" spans="17:20" x14ac:dyDescent="0.35">
      <c r="Q867" s="44"/>
      <c r="R867" s="83"/>
      <c r="S867" s="44"/>
      <c r="T867" s="44"/>
    </row>
    <row r="868" spans="17:20" x14ac:dyDescent="0.35">
      <c r="Q868" s="44"/>
      <c r="R868" s="83"/>
      <c r="S868" s="44"/>
      <c r="T868" s="44"/>
    </row>
    <row r="869" spans="17:20" x14ac:dyDescent="0.35">
      <c r="Q869" s="44"/>
      <c r="R869" s="83"/>
      <c r="S869" s="44"/>
      <c r="T869" s="44"/>
    </row>
    <row r="870" spans="17:20" x14ac:dyDescent="0.35">
      <c r="Q870" s="44"/>
      <c r="R870" s="83"/>
      <c r="S870" s="44"/>
      <c r="T870" s="44"/>
    </row>
    <row r="871" spans="17:20" x14ac:dyDescent="0.35">
      <c r="Q871" s="44"/>
      <c r="R871" s="83"/>
      <c r="S871" s="44"/>
      <c r="T871" s="44"/>
    </row>
    <row r="872" spans="17:20" x14ac:dyDescent="0.35">
      <c r="Q872" s="44"/>
      <c r="R872" s="83"/>
      <c r="S872" s="44"/>
      <c r="T872" s="44"/>
    </row>
    <row r="873" spans="17:20" x14ac:dyDescent="0.35">
      <c r="Q873" s="44"/>
      <c r="R873" s="83"/>
      <c r="S873" s="44"/>
      <c r="T873" s="44"/>
    </row>
    <row r="874" spans="17:20" x14ac:dyDescent="0.35">
      <c r="Q874" s="44"/>
      <c r="R874" s="83"/>
      <c r="S874" s="44"/>
      <c r="T874" s="44"/>
    </row>
    <row r="875" spans="17:20" x14ac:dyDescent="0.35">
      <c r="Q875" s="44"/>
      <c r="R875" s="83"/>
      <c r="S875" s="44"/>
      <c r="T875" s="44"/>
    </row>
    <row r="876" spans="17:20" x14ac:dyDescent="0.35">
      <c r="Q876" s="44"/>
      <c r="R876" s="83"/>
      <c r="S876" s="44"/>
      <c r="T876" s="44"/>
    </row>
    <row r="877" spans="17:20" x14ac:dyDescent="0.35">
      <c r="Q877" s="44"/>
      <c r="R877" s="83"/>
      <c r="S877" s="44"/>
      <c r="T877" s="44"/>
    </row>
    <row r="878" spans="17:20" x14ac:dyDescent="0.35">
      <c r="Q878" s="44"/>
      <c r="R878" s="83"/>
      <c r="S878" s="44"/>
      <c r="T878" s="44"/>
    </row>
    <row r="879" spans="17:20" x14ac:dyDescent="0.35">
      <c r="Q879" s="44"/>
      <c r="R879" s="83"/>
      <c r="S879" s="44"/>
      <c r="T879" s="44"/>
    </row>
    <row r="880" spans="17:20" x14ac:dyDescent="0.35">
      <c r="Q880" s="44"/>
      <c r="R880" s="83"/>
      <c r="S880" s="44"/>
      <c r="T880" s="44"/>
    </row>
    <row r="881" spans="17:20" x14ac:dyDescent="0.35">
      <c r="Q881" s="44"/>
      <c r="R881" s="83"/>
      <c r="S881" s="44"/>
      <c r="T881" s="44"/>
    </row>
    <row r="882" spans="17:20" x14ac:dyDescent="0.35">
      <c r="Q882" s="44"/>
      <c r="R882" s="83"/>
      <c r="S882" s="44"/>
      <c r="T882" s="44"/>
    </row>
    <row r="883" spans="17:20" x14ac:dyDescent="0.35">
      <c r="Q883" s="44"/>
      <c r="R883" s="83"/>
      <c r="S883" s="44"/>
      <c r="T883" s="44"/>
    </row>
    <row r="884" spans="17:20" x14ac:dyDescent="0.35">
      <c r="Q884" s="44"/>
      <c r="R884" s="83"/>
      <c r="S884" s="44"/>
      <c r="T884" s="44"/>
    </row>
    <row r="885" spans="17:20" x14ac:dyDescent="0.35">
      <c r="Q885" s="44"/>
      <c r="R885" s="83"/>
      <c r="S885" s="44"/>
      <c r="T885" s="44"/>
    </row>
    <row r="886" spans="17:20" x14ac:dyDescent="0.35">
      <c r="Q886" s="44"/>
      <c r="R886" s="83"/>
      <c r="S886" s="44"/>
      <c r="T886" s="44"/>
    </row>
    <row r="887" spans="17:20" x14ac:dyDescent="0.35">
      <c r="Q887" s="44"/>
      <c r="R887" s="83"/>
      <c r="S887" s="44"/>
      <c r="T887" s="44"/>
    </row>
    <row r="888" spans="17:20" x14ac:dyDescent="0.35">
      <c r="Q888" s="44"/>
      <c r="R888" s="83"/>
      <c r="S888" s="44"/>
      <c r="T888" s="44"/>
    </row>
    <row r="889" spans="17:20" x14ac:dyDescent="0.35">
      <c r="Q889" s="44"/>
      <c r="R889" s="83"/>
      <c r="S889" s="44"/>
      <c r="T889" s="44"/>
    </row>
    <row r="890" spans="17:20" x14ac:dyDescent="0.35">
      <c r="Q890" s="44"/>
      <c r="R890" s="83"/>
      <c r="S890" s="44"/>
      <c r="T890" s="44"/>
    </row>
    <row r="891" spans="17:20" x14ac:dyDescent="0.35">
      <c r="Q891" s="44"/>
      <c r="R891" s="83"/>
      <c r="S891" s="44"/>
      <c r="T891" s="44"/>
    </row>
    <row r="892" spans="17:20" x14ac:dyDescent="0.35">
      <c r="Q892" s="44"/>
      <c r="R892" s="83"/>
      <c r="S892" s="44"/>
      <c r="T892" s="44"/>
    </row>
    <row r="893" spans="17:20" x14ac:dyDescent="0.35">
      <c r="Q893" s="44"/>
      <c r="R893" s="83"/>
      <c r="S893" s="44"/>
      <c r="T893" s="44"/>
    </row>
    <row r="894" spans="17:20" x14ac:dyDescent="0.35">
      <c r="Q894" s="44"/>
      <c r="R894" s="83"/>
      <c r="S894" s="44"/>
      <c r="T894" s="44"/>
    </row>
    <row r="895" spans="17:20" x14ac:dyDescent="0.35">
      <c r="Q895" s="44"/>
      <c r="R895" s="83"/>
      <c r="S895" s="44"/>
      <c r="T895" s="44"/>
    </row>
    <row r="896" spans="17:20" x14ac:dyDescent="0.35">
      <c r="Q896" s="44"/>
      <c r="R896" s="83"/>
      <c r="S896" s="44"/>
      <c r="T896" s="44"/>
    </row>
    <row r="897" spans="17:20" x14ac:dyDescent="0.35">
      <c r="Q897" s="44"/>
      <c r="R897" s="83"/>
      <c r="S897" s="44"/>
      <c r="T897" s="44"/>
    </row>
    <row r="898" spans="17:20" x14ac:dyDescent="0.35">
      <c r="Q898" s="44"/>
      <c r="R898" s="83"/>
      <c r="S898" s="44"/>
      <c r="T898" s="44"/>
    </row>
    <row r="899" spans="17:20" x14ac:dyDescent="0.35">
      <c r="Q899" s="44"/>
      <c r="R899" s="83"/>
      <c r="S899" s="44"/>
      <c r="T899" s="44"/>
    </row>
    <row r="900" spans="17:20" x14ac:dyDescent="0.35">
      <c r="Q900" s="44"/>
      <c r="R900" s="83"/>
      <c r="S900" s="44"/>
      <c r="T900" s="44"/>
    </row>
    <row r="901" spans="17:20" x14ac:dyDescent="0.35">
      <c r="Q901" s="44"/>
      <c r="R901" s="83"/>
      <c r="S901" s="44"/>
      <c r="T901" s="44"/>
    </row>
    <row r="902" spans="17:20" x14ac:dyDescent="0.35">
      <c r="Q902" s="44"/>
      <c r="R902" s="83"/>
      <c r="S902" s="44"/>
      <c r="T902" s="44"/>
    </row>
    <row r="903" spans="17:20" x14ac:dyDescent="0.35">
      <c r="Q903" s="44"/>
      <c r="R903" s="83"/>
      <c r="S903" s="44"/>
      <c r="T903" s="44"/>
    </row>
    <row r="904" spans="17:20" x14ac:dyDescent="0.35">
      <c r="Q904" s="44"/>
      <c r="R904" s="83"/>
      <c r="S904" s="44"/>
      <c r="T904" s="44"/>
    </row>
    <row r="905" spans="17:20" x14ac:dyDescent="0.35">
      <c r="Q905" s="44"/>
      <c r="R905" s="83"/>
      <c r="S905" s="44"/>
      <c r="T905" s="44"/>
    </row>
    <row r="906" spans="17:20" x14ac:dyDescent="0.35">
      <c r="Q906" s="44"/>
      <c r="R906" s="83"/>
      <c r="S906" s="44"/>
      <c r="T906" s="44"/>
    </row>
    <row r="907" spans="17:20" x14ac:dyDescent="0.35">
      <c r="Q907" s="44"/>
      <c r="R907" s="83"/>
      <c r="S907" s="44"/>
      <c r="T907" s="44"/>
    </row>
    <row r="908" spans="17:20" x14ac:dyDescent="0.35">
      <c r="Q908" s="44"/>
      <c r="R908" s="83"/>
      <c r="S908" s="44"/>
      <c r="T908" s="44"/>
    </row>
    <row r="909" spans="17:20" x14ac:dyDescent="0.35">
      <c r="Q909" s="44"/>
      <c r="R909" s="83"/>
      <c r="S909" s="44"/>
      <c r="T909" s="44"/>
    </row>
    <row r="910" spans="17:20" x14ac:dyDescent="0.35">
      <c r="Q910" s="44"/>
      <c r="R910" s="83"/>
      <c r="S910" s="44"/>
      <c r="T910" s="44"/>
    </row>
    <row r="911" spans="17:20" x14ac:dyDescent="0.35">
      <c r="Q911" s="44"/>
      <c r="R911" s="83"/>
      <c r="S911" s="44"/>
      <c r="T911" s="44"/>
    </row>
    <row r="912" spans="17:20" x14ac:dyDescent="0.35">
      <c r="Q912" s="44"/>
      <c r="R912" s="83"/>
      <c r="S912" s="44"/>
      <c r="T912" s="44"/>
    </row>
    <row r="913" spans="17:20" x14ac:dyDescent="0.35">
      <c r="Q913" s="44"/>
      <c r="R913" s="83"/>
      <c r="S913" s="44"/>
      <c r="T913" s="44"/>
    </row>
    <row r="914" spans="17:20" x14ac:dyDescent="0.35">
      <c r="Q914" s="44"/>
      <c r="R914" s="83"/>
      <c r="S914" s="44"/>
      <c r="T914" s="44"/>
    </row>
    <row r="915" spans="17:20" x14ac:dyDescent="0.35">
      <c r="Q915" s="44"/>
      <c r="R915" s="83"/>
      <c r="S915" s="44"/>
      <c r="T915" s="44"/>
    </row>
    <row r="916" spans="17:20" x14ac:dyDescent="0.35">
      <c r="Q916" s="44"/>
      <c r="R916" s="83"/>
      <c r="S916" s="44"/>
      <c r="T916" s="44"/>
    </row>
    <row r="917" spans="17:20" x14ac:dyDescent="0.35">
      <c r="Q917" s="44"/>
      <c r="R917" s="83"/>
      <c r="S917" s="44"/>
      <c r="T917" s="44"/>
    </row>
    <row r="918" spans="17:20" x14ac:dyDescent="0.35">
      <c r="Q918" s="44"/>
      <c r="R918" s="83"/>
      <c r="S918" s="44"/>
      <c r="T918" s="44"/>
    </row>
    <row r="919" spans="17:20" x14ac:dyDescent="0.35">
      <c r="Q919" s="44"/>
      <c r="R919" s="83"/>
      <c r="S919" s="44"/>
      <c r="T919" s="44"/>
    </row>
    <row r="920" spans="17:20" x14ac:dyDescent="0.35">
      <c r="Q920" s="44"/>
      <c r="R920" s="83"/>
      <c r="S920" s="44"/>
      <c r="T920" s="44"/>
    </row>
    <row r="921" spans="17:20" x14ac:dyDescent="0.35">
      <c r="Q921" s="44"/>
      <c r="R921" s="83"/>
      <c r="S921" s="44"/>
      <c r="T921" s="44"/>
    </row>
    <row r="922" spans="17:20" x14ac:dyDescent="0.35">
      <c r="Q922" s="44"/>
      <c r="R922" s="83"/>
      <c r="S922" s="44"/>
      <c r="T922" s="44"/>
    </row>
    <row r="923" spans="17:20" x14ac:dyDescent="0.35">
      <c r="Q923" s="44"/>
      <c r="R923" s="83"/>
      <c r="S923" s="44"/>
      <c r="T923" s="44"/>
    </row>
    <row r="924" spans="17:20" x14ac:dyDescent="0.35">
      <c r="Q924" s="44"/>
      <c r="R924" s="83"/>
      <c r="S924" s="44"/>
      <c r="T924" s="44"/>
    </row>
    <row r="925" spans="17:20" x14ac:dyDescent="0.35">
      <c r="Q925" s="44"/>
      <c r="R925" s="83"/>
      <c r="S925" s="44"/>
      <c r="T925" s="44"/>
    </row>
    <row r="926" spans="17:20" x14ac:dyDescent="0.35">
      <c r="Q926" s="44"/>
      <c r="R926" s="83"/>
      <c r="S926" s="44"/>
      <c r="T926" s="44"/>
    </row>
    <row r="927" spans="17:20" x14ac:dyDescent="0.35">
      <c r="Q927" s="44"/>
      <c r="R927" s="83"/>
      <c r="S927" s="44"/>
      <c r="T927" s="44"/>
    </row>
    <row r="928" spans="17:20" x14ac:dyDescent="0.35">
      <c r="Q928" s="44"/>
      <c r="R928" s="83"/>
      <c r="S928" s="44"/>
      <c r="T928" s="44"/>
    </row>
    <row r="929" spans="17:20" x14ac:dyDescent="0.35">
      <c r="Q929" s="44"/>
      <c r="R929" s="83"/>
      <c r="S929" s="44"/>
      <c r="T929" s="44"/>
    </row>
    <row r="930" spans="17:20" x14ac:dyDescent="0.35">
      <c r="Q930" s="44"/>
      <c r="R930" s="83"/>
      <c r="S930" s="44"/>
      <c r="T930" s="44"/>
    </row>
    <row r="931" spans="17:20" x14ac:dyDescent="0.35">
      <c r="Q931" s="44"/>
      <c r="R931" s="83"/>
      <c r="S931" s="44"/>
      <c r="T931" s="44"/>
    </row>
    <row r="932" spans="17:20" x14ac:dyDescent="0.35">
      <c r="Q932" s="44"/>
      <c r="R932" s="83"/>
      <c r="S932" s="44"/>
      <c r="T932" s="44"/>
    </row>
    <row r="933" spans="17:20" x14ac:dyDescent="0.35">
      <c r="Q933" s="44"/>
      <c r="R933" s="83"/>
      <c r="S933" s="44"/>
      <c r="T933" s="44"/>
    </row>
    <row r="934" spans="17:20" x14ac:dyDescent="0.35">
      <c r="Q934" s="44"/>
      <c r="R934" s="83"/>
      <c r="S934" s="44"/>
      <c r="T934" s="44"/>
    </row>
    <row r="935" spans="17:20" x14ac:dyDescent="0.35">
      <c r="Q935" s="44"/>
      <c r="R935" s="83"/>
      <c r="S935" s="44"/>
      <c r="T935" s="44"/>
    </row>
    <row r="936" spans="17:20" x14ac:dyDescent="0.35">
      <c r="Q936" s="44"/>
      <c r="R936" s="83"/>
      <c r="S936" s="44"/>
      <c r="T936" s="44"/>
    </row>
    <row r="937" spans="17:20" x14ac:dyDescent="0.35">
      <c r="Q937" s="44"/>
      <c r="R937" s="83"/>
      <c r="S937" s="44"/>
      <c r="T937" s="44"/>
    </row>
    <row r="938" spans="17:20" x14ac:dyDescent="0.35">
      <c r="Q938" s="44"/>
      <c r="R938" s="83"/>
      <c r="S938" s="44"/>
      <c r="T938" s="44"/>
    </row>
    <row r="939" spans="17:20" x14ac:dyDescent="0.35">
      <c r="Q939" s="44"/>
      <c r="R939" s="83"/>
      <c r="S939" s="44"/>
      <c r="T939" s="44"/>
    </row>
    <row r="940" spans="17:20" x14ac:dyDescent="0.35">
      <c r="Q940" s="44"/>
      <c r="R940" s="83"/>
      <c r="S940" s="44"/>
      <c r="T940" s="44"/>
    </row>
    <row r="941" spans="17:20" x14ac:dyDescent="0.35">
      <c r="Q941" s="44"/>
      <c r="R941" s="83"/>
      <c r="S941" s="44"/>
      <c r="T941" s="44"/>
    </row>
    <row r="942" spans="17:20" x14ac:dyDescent="0.35">
      <c r="Q942" s="44"/>
      <c r="R942" s="83"/>
      <c r="S942" s="44"/>
      <c r="T942" s="44"/>
    </row>
    <row r="943" spans="17:20" x14ac:dyDescent="0.35">
      <c r="Q943" s="44"/>
      <c r="R943" s="83"/>
      <c r="S943" s="44"/>
      <c r="T943" s="44"/>
    </row>
    <row r="944" spans="17:20" x14ac:dyDescent="0.35">
      <c r="Q944" s="44"/>
      <c r="R944" s="83"/>
      <c r="S944" s="44"/>
      <c r="T944" s="44"/>
    </row>
    <row r="945" spans="17:20" x14ac:dyDescent="0.35">
      <c r="Q945" s="44"/>
      <c r="R945" s="83"/>
      <c r="S945" s="44"/>
      <c r="T945" s="44"/>
    </row>
    <row r="946" spans="17:20" x14ac:dyDescent="0.35">
      <c r="Q946" s="44"/>
      <c r="R946" s="83"/>
      <c r="S946" s="44"/>
      <c r="T946" s="44"/>
    </row>
    <row r="947" spans="17:20" x14ac:dyDescent="0.35">
      <c r="Q947" s="44"/>
      <c r="R947" s="83"/>
      <c r="S947" s="44"/>
      <c r="T947" s="44"/>
    </row>
    <row r="948" spans="17:20" x14ac:dyDescent="0.35">
      <c r="Q948" s="44"/>
      <c r="R948" s="83"/>
      <c r="S948" s="44"/>
      <c r="T948" s="44"/>
    </row>
    <row r="949" spans="17:20" x14ac:dyDescent="0.35">
      <c r="Q949" s="44"/>
      <c r="R949" s="83"/>
      <c r="S949" s="44"/>
      <c r="T949" s="44"/>
    </row>
    <row r="950" spans="17:20" x14ac:dyDescent="0.35">
      <c r="Q950" s="44"/>
      <c r="R950" s="83"/>
      <c r="S950" s="44"/>
      <c r="T950" s="44"/>
    </row>
    <row r="951" spans="17:20" x14ac:dyDescent="0.35">
      <c r="Q951" s="44"/>
      <c r="R951" s="83"/>
      <c r="S951" s="44"/>
      <c r="T951" s="44"/>
    </row>
    <row r="952" spans="17:20" x14ac:dyDescent="0.35">
      <c r="Q952" s="44"/>
      <c r="R952" s="83"/>
      <c r="S952" s="44"/>
      <c r="T952" s="44"/>
    </row>
    <row r="953" spans="17:20" x14ac:dyDescent="0.35">
      <c r="Q953" s="44"/>
      <c r="R953" s="83"/>
      <c r="S953" s="44"/>
      <c r="T953" s="44"/>
    </row>
    <row r="954" spans="17:20" x14ac:dyDescent="0.35">
      <c r="Q954" s="44"/>
      <c r="R954" s="83"/>
      <c r="S954" s="44"/>
      <c r="T954" s="44"/>
    </row>
    <row r="955" spans="17:20" x14ac:dyDescent="0.35">
      <c r="Q955" s="44"/>
      <c r="R955" s="83"/>
      <c r="S955" s="44"/>
      <c r="T955" s="44"/>
    </row>
    <row r="956" spans="17:20" x14ac:dyDescent="0.35">
      <c r="Q956" s="44"/>
      <c r="R956" s="83"/>
      <c r="S956" s="44"/>
      <c r="T956" s="44"/>
    </row>
    <row r="957" spans="17:20" x14ac:dyDescent="0.35">
      <c r="Q957" s="44"/>
      <c r="R957" s="83"/>
      <c r="S957" s="44"/>
      <c r="T957" s="44"/>
    </row>
    <row r="958" spans="17:20" x14ac:dyDescent="0.35">
      <c r="Q958" s="44"/>
      <c r="R958" s="83"/>
      <c r="S958" s="44"/>
      <c r="T958" s="44"/>
    </row>
    <row r="959" spans="17:20" x14ac:dyDescent="0.35">
      <c r="Q959" s="44"/>
      <c r="R959" s="83"/>
      <c r="S959" s="44"/>
      <c r="T959" s="44"/>
    </row>
    <row r="960" spans="17:20" x14ac:dyDescent="0.35">
      <c r="Q960" s="44"/>
      <c r="R960" s="83"/>
      <c r="S960" s="44"/>
      <c r="T960" s="44"/>
    </row>
    <row r="961" spans="17:20" x14ac:dyDescent="0.35">
      <c r="Q961" s="44"/>
      <c r="R961" s="83"/>
      <c r="S961" s="44"/>
      <c r="T961" s="44"/>
    </row>
    <row r="962" spans="17:20" x14ac:dyDescent="0.35">
      <c r="Q962" s="44"/>
      <c r="R962" s="83"/>
      <c r="S962" s="44"/>
      <c r="T962" s="44"/>
    </row>
    <row r="963" spans="17:20" x14ac:dyDescent="0.35">
      <c r="Q963" s="44"/>
      <c r="R963" s="83"/>
      <c r="S963" s="44"/>
      <c r="T963" s="44"/>
    </row>
    <row r="964" spans="17:20" x14ac:dyDescent="0.35">
      <c r="Q964" s="44"/>
      <c r="R964" s="83"/>
      <c r="S964" s="44"/>
      <c r="T964" s="44"/>
    </row>
    <row r="965" spans="17:20" x14ac:dyDescent="0.35">
      <c r="Q965" s="44"/>
      <c r="R965" s="83"/>
      <c r="S965" s="44"/>
      <c r="T965" s="44"/>
    </row>
    <row r="966" spans="17:20" x14ac:dyDescent="0.35">
      <c r="Q966" s="44"/>
      <c r="R966" s="83"/>
      <c r="S966" s="44"/>
      <c r="T966" s="44"/>
    </row>
    <row r="967" spans="17:20" x14ac:dyDescent="0.35">
      <c r="Q967" s="44"/>
      <c r="R967" s="83"/>
      <c r="S967" s="44"/>
      <c r="T967" s="44"/>
    </row>
    <row r="968" spans="17:20" x14ac:dyDescent="0.35">
      <c r="Q968" s="44"/>
      <c r="R968" s="83"/>
      <c r="S968" s="44"/>
      <c r="T968" s="44"/>
    </row>
    <row r="969" spans="17:20" x14ac:dyDescent="0.35">
      <c r="Q969" s="44"/>
      <c r="R969" s="83"/>
      <c r="S969" s="44"/>
      <c r="T969" s="44"/>
    </row>
    <row r="970" spans="17:20" x14ac:dyDescent="0.35">
      <c r="Q970" s="44"/>
      <c r="R970" s="83"/>
      <c r="S970" s="44"/>
      <c r="T970" s="44"/>
    </row>
    <row r="971" spans="17:20" x14ac:dyDescent="0.35">
      <c r="Q971" s="44"/>
      <c r="R971" s="83"/>
      <c r="S971" s="44"/>
      <c r="T971" s="44"/>
    </row>
    <row r="972" spans="17:20" x14ac:dyDescent="0.35">
      <c r="Q972" s="44"/>
      <c r="R972" s="83"/>
      <c r="S972" s="44"/>
      <c r="T972" s="44"/>
    </row>
    <row r="973" spans="17:20" x14ac:dyDescent="0.35">
      <c r="Q973" s="44"/>
      <c r="R973" s="83"/>
      <c r="S973" s="44"/>
      <c r="T973" s="44"/>
    </row>
    <row r="974" spans="17:20" x14ac:dyDescent="0.35">
      <c r="Q974" s="44"/>
      <c r="R974" s="83"/>
      <c r="S974" s="44"/>
      <c r="T974" s="44"/>
    </row>
    <row r="975" spans="17:20" x14ac:dyDescent="0.35">
      <c r="Q975" s="44"/>
      <c r="R975" s="83"/>
      <c r="S975" s="44"/>
      <c r="T975" s="44"/>
    </row>
    <row r="976" spans="17:20" x14ac:dyDescent="0.35">
      <c r="Q976" s="44"/>
      <c r="R976" s="83"/>
      <c r="S976" s="44"/>
      <c r="T976" s="44"/>
    </row>
    <row r="977" spans="17:20" x14ac:dyDescent="0.35">
      <c r="Q977" s="44"/>
      <c r="R977" s="83"/>
      <c r="S977" s="44"/>
      <c r="T977" s="44"/>
    </row>
    <row r="978" spans="17:20" x14ac:dyDescent="0.35">
      <c r="Q978" s="44"/>
      <c r="R978" s="83"/>
      <c r="S978" s="44"/>
      <c r="T978" s="44"/>
    </row>
    <row r="979" spans="17:20" x14ac:dyDescent="0.35">
      <c r="Q979" s="44"/>
      <c r="R979" s="83"/>
      <c r="S979" s="44"/>
      <c r="T979" s="44"/>
    </row>
    <row r="980" spans="17:20" x14ac:dyDescent="0.35">
      <c r="Q980" s="44"/>
      <c r="R980" s="83"/>
      <c r="S980" s="44"/>
      <c r="T980" s="44"/>
    </row>
    <row r="981" spans="17:20" x14ac:dyDescent="0.35">
      <c r="Q981" s="44"/>
      <c r="R981" s="83"/>
      <c r="S981" s="44"/>
      <c r="T981" s="44"/>
    </row>
    <row r="982" spans="17:20" x14ac:dyDescent="0.35">
      <c r="Q982" s="44"/>
      <c r="R982" s="83"/>
      <c r="S982" s="44"/>
      <c r="T982" s="44"/>
    </row>
    <row r="983" spans="17:20" x14ac:dyDescent="0.35">
      <c r="Q983" s="44"/>
      <c r="R983" s="83"/>
      <c r="S983" s="44"/>
      <c r="T983" s="44"/>
    </row>
    <row r="984" spans="17:20" x14ac:dyDescent="0.35">
      <c r="Q984" s="44"/>
      <c r="R984" s="83"/>
      <c r="S984" s="44"/>
      <c r="T984" s="44"/>
    </row>
    <row r="985" spans="17:20" x14ac:dyDescent="0.35">
      <c r="Q985" s="44"/>
      <c r="R985" s="83"/>
      <c r="S985" s="44"/>
      <c r="T985" s="44"/>
    </row>
    <row r="986" spans="17:20" x14ac:dyDescent="0.35">
      <c r="Q986" s="44"/>
      <c r="R986" s="83"/>
      <c r="S986" s="44"/>
      <c r="T986" s="44"/>
    </row>
    <row r="987" spans="17:20" x14ac:dyDescent="0.35">
      <c r="Q987" s="44"/>
      <c r="R987" s="83"/>
      <c r="S987" s="44"/>
      <c r="T987" s="44"/>
    </row>
    <row r="988" spans="17:20" x14ac:dyDescent="0.35">
      <c r="Q988" s="44"/>
      <c r="R988" s="83"/>
      <c r="S988" s="44"/>
      <c r="T988" s="44"/>
    </row>
    <row r="989" spans="17:20" x14ac:dyDescent="0.35">
      <c r="Q989" s="44"/>
      <c r="R989" s="83"/>
      <c r="S989" s="44"/>
      <c r="T989" s="44"/>
    </row>
    <row r="990" spans="17:20" x14ac:dyDescent="0.35">
      <c r="Q990" s="44"/>
      <c r="R990" s="83"/>
      <c r="S990" s="44"/>
      <c r="T990" s="44"/>
    </row>
    <row r="991" spans="17:20" x14ac:dyDescent="0.35">
      <c r="Q991" s="44"/>
      <c r="R991" s="83"/>
      <c r="S991" s="44"/>
      <c r="T991" s="44"/>
    </row>
    <row r="992" spans="17:20" x14ac:dyDescent="0.35">
      <c r="Q992" s="44"/>
      <c r="R992" s="83"/>
      <c r="S992" s="44"/>
      <c r="T992" s="44"/>
    </row>
    <row r="993" spans="17:20" x14ac:dyDescent="0.35">
      <c r="Q993" s="44"/>
      <c r="R993" s="83"/>
      <c r="S993" s="44"/>
      <c r="T993" s="44"/>
    </row>
    <row r="994" spans="17:20" x14ac:dyDescent="0.35">
      <c r="Q994" s="44"/>
      <c r="R994" s="83"/>
      <c r="S994" s="44"/>
      <c r="T994" s="44"/>
    </row>
    <row r="995" spans="17:20" x14ac:dyDescent="0.35">
      <c r="Q995" s="44"/>
      <c r="R995" s="83"/>
      <c r="S995" s="44"/>
      <c r="T995" s="44"/>
    </row>
    <row r="996" spans="17:20" x14ac:dyDescent="0.35">
      <c r="Q996" s="44"/>
      <c r="R996" s="83"/>
      <c r="S996" s="44"/>
      <c r="T996" s="44"/>
    </row>
    <row r="997" spans="17:20" x14ac:dyDescent="0.35">
      <c r="Q997" s="44"/>
      <c r="R997" s="83"/>
      <c r="S997" s="44"/>
      <c r="T997" s="44"/>
    </row>
    <row r="998" spans="17:20" x14ac:dyDescent="0.35">
      <c r="Q998" s="44"/>
      <c r="R998" s="83"/>
      <c r="S998" s="44"/>
      <c r="T998" s="44"/>
    </row>
    <row r="999" spans="17:20" x14ac:dyDescent="0.35">
      <c r="Q999" s="44"/>
      <c r="R999" s="83"/>
      <c r="S999" s="44"/>
      <c r="T999" s="44"/>
    </row>
    <row r="1000" spans="17:20" x14ac:dyDescent="0.35">
      <c r="Q1000" s="44"/>
      <c r="R1000" s="83"/>
      <c r="S1000" s="44"/>
      <c r="T1000" s="44"/>
    </row>
    <row r="1001" spans="17:20" x14ac:dyDescent="0.35">
      <c r="Q1001" s="44"/>
      <c r="R1001" s="83"/>
      <c r="S1001" s="44"/>
      <c r="T1001" s="44"/>
    </row>
    <row r="1002" spans="17:20" x14ac:dyDescent="0.35">
      <c r="Q1002" s="44"/>
      <c r="R1002" s="83"/>
      <c r="S1002" s="44"/>
      <c r="T1002" s="44"/>
    </row>
    <row r="1003" spans="17:20" x14ac:dyDescent="0.35">
      <c r="Q1003" s="44"/>
      <c r="R1003" s="83"/>
      <c r="S1003" s="44"/>
      <c r="T1003" s="44"/>
    </row>
    <row r="1004" spans="17:20" x14ac:dyDescent="0.35">
      <c r="Q1004" s="44"/>
      <c r="R1004" s="83"/>
      <c r="S1004" s="44"/>
      <c r="T1004" s="44"/>
    </row>
    <row r="1005" spans="17:20" x14ac:dyDescent="0.35">
      <c r="Q1005" s="44"/>
      <c r="R1005" s="83"/>
      <c r="S1005" s="44"/>
      <c r="T1005" s="44"/>
    </row>
    <row r="1006" spans="17:20" x14ac:dyDescent="0.35">
      <c r="Q1006" s="44"/>
      <c r="R1006" s="83"/>
      <c r="S1006" s="44"/>
      <c r="T1006" s="44"/>
    </row>
    <row r="1007" spans="17:20" x14ac:dyDescent="0.35">
      <c r="Q1007" s="44"/>
      <c r="R1007" s="83"/>
      <c r="S1007" s="44"/>
      <c r="T1007" s="44"/>
    </row>
    <row r="1008" spans="17:20" x14ac:dyDescent="0.35">
      <c r="Q1008" s="44"/>
      <c r="R1008" s="83"/>
      <c r="S1008" s="44"/>
      <c r="T1008" s="44"/>
    </row>
    <row r="1009" spans="17:20" x14ac:dyDescent="0.35">
      <c r="Q1009" s="44"/>
      <c r="R1009" s="83"/>
      <c r="S1009" s="44"/>
      <c r="T1009" s="44"/>
    </row>
    <row r="1010" spans="17:20" x14ac:dyDescent="0.35">
      <c r="Q1010" s="44"/>
      <c r="R1010" s="83"/>
      <c r="S1010" s="44"/>
      <c r="T1010" s="44"/>
    </row>
    <row r="1011" spans="17:20" x14ac:dyDescent="0.35">
      <c r="Q1011" s="44"/>
      <c r="R1011" s="83"/>
      <c r="S1011" s="44"/>
      <c r="T1011" s="44"/>
    </row>
    <row r="1012" spans="17:20" x14ac:dyDescent="0.35">
      <c r="Q1012" s="44"/>
      <c r="R1012" s="83"/>
      <c r="S1012" s="44"/>
      <c r="T1012" s="44"/>
    </row>
    <row r="1013" spans="17:20" x14ac:dyDescent="0.35">
      <c r="Q1013" s="44"/>
      <c r="R1013" s="83"/>
      <c r="S1013" s="44"/>
      <c r="T1013" s="44"/>
    </row>
    <row r="1014" spans="17:20" x14ac:dyDescent="0.35">
      <c r="Q1014" s="44"/>
      <c r="R1014" s="83"/>
      <c r="S1014" s="44"/>
      <c r="T1014" s="44"/>
    </row>
    <row r="1015" spans="17:20" x14ac:dyDescent="0.35">
      <c r="Q1015" s="44"/>
      <c r="R1015" s="83"/>
      <c r="S1015" s="44"/>
      <c r="T1015" s="44"/>
    </row>
    <row r="1016" spans="17:20" x14ac:dyDescent="0.35">
      <c r="Q1016" s="44"/>
      <c r="R1016" s="83"/>
      <c r="S1016" s="44"/>
      <c r="T1016" s="44"/>
    </row>
    <row r="1017" spans="17:20" x14ac:dyDescent="0.35">
      <c r="Q1017" s="44"/>
      <c r="R1017" s="83"/>
      <c r="S1017" s="44"/>
      <c r="T1017" s="44"/>
    </row>
    <row r="1018" spans="17:20" x14ac:dyDescent="0.35">
      <c r="Q1018" s="44"/>
      <c r="R1018" s="83"/>
      <c r="S1018" s="44"/>
      <c r="T1018" s="44"/>
    </row>
    <row r="1019" spans="17:20" x14ac:dyDescent="0.35">
      <c r="Q1019" s="44"/>
      <c r="R1019" s="83"/>
      <c r="S1019" s="44"/>
      <c r="T1019" s="44"/>
    </row>
    <row r="1020" spans="17:20" x14ac:dyDescent="0.35">
      <c r="Q1020" s="44"/>
      <c r="R1020" s="83"/>
      <c r="S1020" s="44"/>
      <c r="T1020" s="44"/>
    </row>
    <row r="1021" spans="17:20" x14ac:dyDescent="0.35">
      <c r="Q1021" s="44"/>
      <c r="R1021" s="83"/>
      <c r="S1021" s="44"/>
      <c r="T1021" s="44"/>
    </row>
    <row r="1022" spans="17:20" x14ac:dyDescent="0.35">
      <c r="Q1022" s="44"/>
      <c r="R1022" s="83"/>
      <c r="S1022" s="44"/>
      <c r="T1022" s="44"/>
    </row>
    <row r="1023" spans="17:20" x14ac:dyDescent="0.35">
      <c r="Q1023" s="44"/>
      <c r="R1023" s="83"/>
      <c r="S1023" s="44"/>
      <c r="T1023" s="44"/>
    </row>
    <row r="1024" spans="17:20" x14ac:dyDescent="0.35">
      <c r="Q1024" s="44"/>
      <c r="R1024" s="83"/>
      <c r="S1024" s="44"/>
      <c r="T1024" s="44"/>
    </row>
    <row r="1025" spans="17:20" x14ac:dyDescent="0.35">
      <c r="Q1025" s="44"/>
      <c r="R1025" s="83"/>
      <c r="S1025" s="44"/>
      <c r="T1025" s="44"/>
    </row>
    <row r="1026" spans="17:20" x14ac:dyDescent="0.35">
      <c r="Q1026" s="44"/>
      <c r="R1026" s="83"/>
      <c r="S1026" s="44"/>
      <c r="T1026" s="44"/>
    </row>
    <row r="1027" spans="17:20" x14ac:dyDescent="0.35">
      <c r="Q1027" s="44"/>
      <c r="R1027" s="83"/>
      <c r="S1027" s="44"/>
      <c r="T1027" s="44"/>
    </row>
    <row r="1028" spans="17:20" x14ac:dyDescent="0.35">
      <c r="Q1028" s="44"/>
      <c r="R1028" s="83"/>
      <c r="S1028" s="44"/>
      <c r="T1028" s="44"/>
    </row>
    <row r="1029" spans="17:20" x14ac:dyDescent="0.35">
      <c r="Q1029" s="44"/>
      <c r="R1029" s="83"/>
      <c r="S1029" s="44"/>
      <c r="T1029" s="44"/>
    </row>
    <row r="1030" spans="17:20" x14ac:dyDescent="0.35">
      <c r="Q1030" s="44"/>
      <c r="R1030" s="83"/>
      <c r="S1030" s="44"/>
      <c r="T1030" s="44"/>
    </row>
    <row r="1031" spans="17:20" x14ac:dyDescent="0.35">
      <c r="Q1031" s="44"/>
      <c r="R1031" s="83"/>
      <c r="S1031" s="44"/>
      <c r="T1031" s="44"/>
    </row>
    <row r="1032" spans="17:20" x14ac:dyDescent="0.35">
      <c r="Q1032" s="44"/>
      <c r="R1032" s="83"/>
      <c r="S1032" s="44"/>
      <c r="T1032" s="44"/>
    </row>
    <row r="1033" spans="17:20" x14ac:dyDescent="0.35">
      <c r="Q1033" s="44"/>
      <c r="R1033" s="83"/>
      <c r="S1033" s="44"/>
      <c r="T1033" s="44"/>
    </row>
    <row r="1034" spans="17:20" x14ac:dyDescent="0.35">
      <c r="Q1034" s="44"/>
      <c r="R1034" s="83"/>
      <c r="S1034" s="44"/>
      <c r="T1034" s="44"/>
    </row>
    <row r="1035" spans="17:20" x14ac:dyDescent="0.35">
      <c r="Q1035" s="44"/>
      <c r="R1035" s="83"/>
      <c r="S1035" s="44"/>
      <c r="T1035" s="44"/>
    </row>
    <row r="1036" spans="17:20" x14ac:dyDescent="0.35">
      <c r="Q1036" s="44"/>
      <c r="R1036" s="83"/>
      <c r="S1036" s="44"/>
      <c r="T1036" s="44"/>
    </row>
    <row r="1037" spans="17:20" x14ac:dyDescent="0.35">
      <c r="Q1037" s="44"/>
      <c r="R1037" s="83"/>
      <c r="S1037" s="44"/>
      <c r="T1037" s="44"/>
    </row>
    <row r="1038" spans="17:20" x14ac:dyDescent="0.35">
      <c r="Q1038" s="44"/>
      <c r="R1038" s="83"/>
      <c r="S1038" s="44"/>
      <c r="T1038" s="44"/>
    </row>
    <row r="1039" spans="17:20" x14ac:dyDescent="0.35">
      <c r="Q1039" s="44"/>
      <c r="R1039" s="83"/>
      <c r="S1039" s="44"/>
      <c r="T1039" s="44"/>
    </row>
    <row r="1040" spans="17:20" x14ac:dyDescent="0.35">
      <c r="Q1040" s="44"/>
      <c r="R1040" s="83"/>
      <c r="S1040" s="44"/>
      <c r="T1040" s="44"/>
    </row>
    <row r="1041" spans="17:20" x14ac:dyDescent="0.35">
      <c r="Q1041" s="44"/>
      <c r="R1041" s="83"/>
      <c r="S1041" s="44"/>
      <c r="T1041" s="44"/>
    </row>
    <row r="1042" spans="17:20" x14ac:dyDescent="0.35">
      <c r="Q1042" s="44"/>
      <c r="R1042" s="83"/>
      <c r="S1042" s="44"/>
      <c r="T1042" s="44"/>
    </row>
    <row r="1043" spans="17:20" x14ac:dyDescent="0.35">
      <c r="Q1043" s="44"/>
      <c r="R1043" s="83"/>
      <c r="S1043" s="44"/>
      <c r="T1043" s="44"/>
    </row>
    <row r="1044" spans="17:20" x14ac:dyDescent="0.35">
      <c r="Q1044" s="44"/>
      <c r="R1044" s="83"/>
      <c r="S1044" s="44"/>
      <c r="T1044" s="44"/>
    </row>
    <row r="1045" spans="17:20" x14ac:dyDescent="0.35">
      <c r="Q1045" s="44"/>
      <c r="R1045" s="83"/>
      <c r="S1045" s="44"/>
      <c r="T1045" s="44"/>
    </row>
    <row r="1046" spans="17:20" x14ac:dyDescent="0.35">
      <c r="Q1046" s="44"/>
      <c r="R1046" s="83"/>
      <c r="S1046" s="44"/>
      <c r="T1046" s="44"/>
    </row>
  </sheetData>
  <sheetProtection formatCells="0" sort="0" autoFilter="0"/>
  <mergeCells count="11">
    <mergeCell ref="B1:AB1"/>
    <mergeCell ref="B2:H2"/>
    <mergeCell ref="Z6:AB6"/>
    <mergeCell ref="U6:Y6"/>
    <mergeCell ref="P6:T6"/>
    <mergeCell ref="M6:O6"/>
    <mergeCell ref="I6:L6"/>
    <mergeCell ref="F6:H6"/>
    <mergeCell ref="B6:E6"/>
    <mergeCell ref="D4:E4"/>
    <mergeCell ref="J2:S2"/>
  </mergeCells>
  <phoneticPr fontId="1" type="noConversion"/>
  <conditionalFormatting sqref="C4:C5 F4:F5">
    <cfRule type="iconSet" priority="12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F8:F160">
    <cfRule type="containsText" dxfId="16" priority="5" operator="containsText" text="⛔️">
      <formula>NOT(ISERROR(SEARCH("⛔️",F8)))</formula>
    </cfRule>
    <cfRule type="containsText" dxfId="15" priority="6" operator="containsText" text="⚠️">
      <formula>NOT(ISERROR(SEARCH("⚠️",F8)))</formula>
    </cfRule>
    <cfRule type="containsText" dxfId="14" priority="7" operator="containsText" text="✅">
      <formula>NOT(ISERROR(SEARCH("✅",F8)))</formula>
    </cfRule>
  </conditionalFormatting>
  <conditionalFormatting sqref="H4:H5">
    <cfRule type="iconSet" priority="11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8:H14 H16:H37 H39:H100 H102:H146">
    <cfRule type="containsText" dxfId="13" priority="14" operator="containsText" text="Cas à justifier">
      <formula>NOT(ISERROR(SEARCH("Cas à justifier",H8)))</formula>
    </cfRule>
  </conditionalFormatting>
  <conditionalFormatting sqref="H156">
    <cfRule type="containsText" dxfId="12" priority="1" operator="containsText" text="Cas à justifier">
      <formula>NOT(ISERROR(SEARCH("Cas à justifier",H156)))</formula>
    </cfRule>
  </conditionalFormatting>
  <conditionalFormatting sqref="AA8:AA160">
    <cfRule type="containsText" dxfId="11" priority="15" operator="containsText" text="Examen expiré">
      <formula>NOT(ISERROR(SEARCH("Examen expiré",AA8)))</formula>
    </cfRule>
  </conditionalFormatting>
  <pageMargins left="0.7" right="0.7" top="0.75" bottom="0.75" header="0.3" footer="0.3"/>
  <pageSetup paperSize="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663"/>
  <sheetViews>
    <sheetView zoomScale="50" zoomScaleNormal="50" workbookViewId="0">
      <pane xSplit="8" ySplit="7" topLeftCell="U8" activePane="bottomRight" state="frozen"/>
      <selection pane="topRight" activeCell="C1" sqref="C1"/>
      <selection pane="bottomLeft" activeCell="A10" sqref="A10"/>
      <selection pane="bottomRight" activeCell="E11" sqref="E11"/>
    </sheetView>
  </sheetViews>
  <sheetFormatPr defaultColWidth="10.7265625" defaultRowHeight="15.5" x14ac:dyDescent="0.35"/>
  <cols>
    <col min="1" max="1" width="7" style="18" customWidth="1"/>
    <col min="2" max="2" width="19.453125" style="18" customWidth="1"/>
    <col min="3" max="3" width="12.54296875" style="18" customWidth="1"/>
    <col min="4" max="4" width="13.7265625" style="18" customWidth="1"/>
    <col min="5" max="5" width="19" style="18" customWidth="1"/>
    <col min="6" max="6" width="13.81640625" style="18" customWidth="1"/>
    <col min="7" max="7" width="16.1796875" style="18" customWidth="1"/>
    <col min="8" max="8" width="17.81640625" style="23" customWidth="1"/>
    <col min="9" max="9" width="14.26953125" style="18" customWidth="1"/>
    <col min="10" max="10" width="10" style="82" customWidth="1"/>
    <col min="11" max="11" width="9.54296875" style="82" customWidth="1"/>
    <col min="12" max="12" width="10.7265625" style="82" customWidth="1"/>
    <col min="13" max="13" width="26" style="18" customWidth="1"/>
    <col min="14" max="15" width="20.26953125" style="18" customWidth="1"/>
    <col min="16" max="16" width="25.54296875" style="18" customWidth="1"/>
    <col min="17" max="17" width="19.1796875" style="24" customWidth="1"/>
    <col min="18" max="18" width="25.1796875" style="18" customWidth="1"/>
    <col min="19" max="19" width="20.1796875" style="82" customWidth="1"/>
    <col min="20" max="20" width="18.81640625" style="18" customWidth="1"/>
    <col min="21" max="21" width="23.453125" style="18" customWidth="1"/>
    <col min="22" max="22" width="15.81640625" style="25" customWidth="1"/>
    <col min="23" max="23" width="20.81640625" style="18" customWidth="1"/>
    <col min="24" max="24" width="20.54296875" style="82" customWidth="1"/>
    <col min="25" max="25" width="19.54296875" style="18" customWidth="1"/>
    <col min="26" max="26" width="23.7265625" style="18" customWidth="1"/>
    <col min="27" max="27" width="29.81640625" style="26" customWidth="1"/>
    <col min="28" max="28" width="17.81640625" style="18" customWidth="1"/>
    <col min="29" max="29" width="38.453125" style="18" customWidth="1"/>
    <col min="30" max="30" width="10.81640625" style="18" customWidth="1"/>
    <col min="31" max="16384" width="10.7265625" style="18"/>
  </cols>
  <sheetData>
    <row r="1" spans="2:29" ht="4.5" customHeight="1" thickBot="1" x14ac:dyDescent="0.4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</row>
    <row r="2" spans="2:29" ht="41.15" customHeight="1" x14ac:dyDescent="0.35">
      <c r="B2" s="183" t="s">
        <v>442</v>
      </c>
      <c r="C2" s="184"/>
      <c r="D2" s="184"/>
      <c r="E2" s="184"/>
      <c r="F2" s="184"/>
      <c r="G2" s="184"/>
      <c r="H2" s="185"/>
      <c r="I2" s="17"/>
      <c r="J2" s="79"/>
      <c r="K2" s="79"/>
      <c r="L2" s="79"/>
      <c r="M2" s="17"/>
      <c r="N2" s="17"/>
      <c r="O2" s="17"/>
      <c r="P2" s="17"/>
      <c r="Q2" s="17"/>
      <c r="R2" s="17"/>
      <c r="S2" s="79"/>
      <c r="T2" s="17"/>
      <c r="U2" s="17"/>
      <c r="V2" s="17"/>
      <c r="W2" s="17"/>
      <c r="X2" s="79"/>
      <c r="Y2" s="17"/>
      <c r="Z2" s="17"/>
      <c r="AA2" s="17"/>
      <c r="AB2" s="17"/>
      <c r="AC2" s="17"/>
    </row>
    <row r="3" spans="2:29" ht="6" customHeight="1" thickBot="1" x14ac:dyDescent="0.4">
      <c r="B3" s="17"/>
      <c r="C3" s="17"/>
      <c r="D3" s="17"/>
      <c r="E3" s="17"/>
      <c r="F3" s="17"/>
      <c r="G3" s="17"/>
      <c r="H3" s="17"/>
      <c r="I3" s="17"/>
      <c r="J3" s="79"/>
      <c r="K3" s="79"/>
      <c r="L3" s="79"/>
      <c r="M3" s="17"/>
      <c r="N3" s="17"/>
      <c r="O3" s="17"/>
      <c r="P3" s="17"/>
      <c r="Q3" s="17"/>
      <c r="R3" s="17"/>
      <c r="S3" s="79"/>
      <c r="T3" s="17"/>
      <c r="U3" s="17"/>
      <c r="V3" s="17"/>
      <c r="W3" s="17"/>
      <c r="X3" s="79"/>
      <c r="Y3" s="17"/>
      <c r="Z3" s="17"/>
      <c r="AA3" s="17"/>
      <c r="AB3" s="17"/>
      <c r="AC3" s="17"/>
    </row>
    <row r="4" spans="2:29" ht="35.15" customHeight="1" thickBot="1" x14ac:dyDescent="0.4">
      <c r="B4" s="27" t="s">
        <v>1</v>
      </c>
      <c r="C4" s="69" t="s">
        <v>2</v>
      </c>
      <c r="D4" s="204" t="s">
        <v>3</v>
      </c>
      <c r="E4" s="205"/>
      <c r="F4" s="70" t="s">
        <v>4</v>
      </c>
      <c r="G4" s="28" t="s">
        <v>5</v>
      </c>
      <c r="H4" s="71" t="s">
        <v>6</v>
      </c>
      <c r="I4" s="17"/>
      <c r="J4" s="79"/>
      <c r="K4" s="79"/>
      <c r="L4" s="79"/>
      <c r="M4" s="17"/>
      <c r="N4" s="17"/>
      <c r="O4" s="17"/>
      <c r="P4" s="17"/>
      <c r="Q4" s="17"/>
      <c r="R4" s="17"/>
      <c r="S4" s="79"/>
      <c r="T4" s="17"/>
      <c r="U4" s="17"/>
      <c r="V4" s="17"/>
      <c r="W4" s="17"/>
      <c r="X4" s="79"/>
      <c r="Y4" s="17"/>
      <c r="Z4" s="17"/>
      <c r="AA4" s="17"/>
      <c r="AB4" s="17"/>
      <c r="AC4" s="17"/>
    </row>
    <row r="5" spans="2:29" ht="6" customHeight="1" thickBot="1" x14ac:dyDescent="0.4">
      <c r="B5" s="17"/>
      <c r="C5" s="17"/>
      <c r="D5" s="17"/>
      <c r="E5" s="17"/>
      <c r="F5" s="17"/>
      <c r="G5" s="17"/>
      <c r="H5" s="17"/>
      <c r="I5" s="17"/>
      <c r="J5" s="79"/>
      <c r="K5" s="79"/>
      <c r="L5" s="79"/>
      <c r="M5" s="17"/>
      <c r="N5" s="17"/>
      <c r="O5" s="17"/>
      <c r="P5" s="17"/>
      <c r="Q5" s="17"/>
      <c r="R5" s="17"/>
      <c r="S5" s="79"/>
      <c r="T5" s="17"/>
      <c r="U5" s="17"/>
      <c r="V5" s="17"/>
      <c r="W5" s="17"/>
      <c r="X5" s="79"/>
      <c r="Y5" s="17"/>
      <c r="Z5" s="17"/>
      <c r="AA5" s="17"/>
      <c r="AB5" s="17"/>
      <c r="AC5" s="17"/>
    </row>
    <row r="6" spans="2:29" ht="23.15" customHeight="1" thickBot="1" x14ac:dyDescent="0.4">
      <c r="B6" s="202" t="s">
        <v>7</v>
      </c>
      <c r="C6" s="203"/>
      <c r="D6" s="203"/>
      <c r="E6" s="212"/>
      <c r="F6" s="209" t="s">
        <v>8</v>
      </c>
      <c r="G6" s="210"/>
      <c r="H6" s="200"/>
      <c r="I6" s="198" t="s">
        <v>9</v>
      </c>
      <c r="J6" s="198"/>
      <c r="K6" s="198"/>
      <c r="L6" s="199"/>
      <c r="M6" s="195" t="s">
        <v>10</v>
      </c>
      <c r="N6" s="196"/>
      <c r="O6" s="211"/>
      <c r="P6" s="197"/>
      <c r="Q6" s="192" t="s">
        <v>11</v>
      </c>
      <c r="R6" s="193"/>
      <c r="S6" s="193"/>
      <c r="T6" s="193"/>
      <c r="U6" s="194"/>
      <c r="V6" s="189" t="s">
        <v>12</v>
      </c>
      <c r="W6" s="190"/>
      <c r="X6" s="190"/>
      <c r="Y6" s="190"/>
      <c r="Z6" s="191"/>
      <c r="AA6" s="186" t="s">
        <v>13</v>
      </c>
      <c r="AB6" s="187"/>
      <c r="AC6" s="188"/>
    </row>
    <row r="7" spans="2:29" s="22" customFormat="1" ht="36" customHeight="1" thickBot="1" x14ac:dyDescent="0.4">
      <c r="B7" s="48" t="s">
        <v>1327</v>
      </c>
      <c r="C7" s="49" t="s">
        <v>15</v>
      </c>
      <c r="D7" s="49" t="s">
        <v>16</v>
      </c>
      <c r="E7" s="49" t="s">
        <v>443</v>
      </c>
      <c r="F7" s="10" t="s">
        <v>18</v>
      </c>
      <c r="G7" s="10" t="s">
        <v>19</v>
      </c>
      <c r="H7" s="45" t="s">
        <v>20</v>
      </c>
      <c r="I7" s="11" t="s">
        <v>21</v>
      </c>
      <c r="J7" s="80" t="s">
        <v>22</v>
      </c>
      <c r="K7" s="80" t="s">
        <v>23</v>
      </c>
      <c r="L7" s="80" t="s">
        <v>1324</v>
      </c>
      <c r="M7" s="12" t="s">
        <v>24</v>
      </c>
      <c r="N7" s="12" t="s">
        <v>25</v>
      </c>
      <c r="O7" s="12" t="s">
        <v>444</v>
      </c>
      <c r="P7" s="12" t="s">
        <v>445</v>
      </c>
      <c r="Q7" s="38" t="s">
        <v>27</v>
      </c>
      <c r="R7" s="38" t="s">
        <v>28</v>
      </c>
      <c r="S7" s="77" t="s">
        <v>29</v>
      </c>
      <c r="T7" s="16" t="s">
        <v>30</v>
      </c>
      <c r="U7" s="16" t="s">
        <v>31</v>
      </c>
      <c r="V7" s="54" t="s">
        <v>32</v>
      </c>
      <c r="W7" s="54" t="s">
        <v>33</v>
      </c>
      <c r="X7" s="78" t="s">
        <v>34</v>
      </c>
      <c r="Y7" s="13" t="s">
        <v>35</v>
      </c>
      <c r="Z7" s="13" t="s">
        <v>36</v>
      </c>
      <c r="AA7" s="55" t="s">
        <v>37</v>
      </c>
      <c r="AB7" s="14" t="s">
        <v>38</v>
      </c>
      <c r="AC7" s="15" t="s">
        <v>39</v>
      </c>
    </row>
    <row r="8" spans="2:29" ht="48" x14ac:dyDescent="0.35">
      <c r="B8" s="41" t="s">
        <v>459</v>
      </c>
      <c r="C8" s="59" t="s">
        <v>460</v>
      </c>
      <c r="D8" s="58" t="s">
        <v>56</v>
      </c>
      <c r="E8" s="85"/>
      <c r="F8" s="65" t="str">
        <f ca="1">IF(Tableau35[[#This Row],[Date d''expiration ]]&gt;TODAY()+31,"✅",IF(Tableau35[[#This Row],[Date d''expiration ]]&gt; TODAY()+1, "⚠️","⛔️"))</f>
        <v>⛔️</v>
      </c>
      <c r="G8" s="6">
        <f t="shared" ref="G8:G17" si="0">MIN(U8,Z8,AC8)</f>
        <v>45638</v>
      </c>
      <c r="H8" s="57" t="s">
        <v>457</v>
      </c>
      <c r="I8" s="2">
        <v>24663</v>
      </c>
      <c r="J8" s="75">
        <f t="shared" ref="J8:J17" ca="1" si="1">YEARFRAC(I8,TODAY(),1)</f>
        <v>59.159479808350447</v>
      </c>
      <c r="K8" s="75">
        <f>YEARFRAC(I8,RG_DRH_S1_008!$E$4,1)</f>
        <v>58.477076566125291</v>
      </c>
      <c r="L8" s="75">
        <f>YEARFRAC(I8,RG_DRH_S1_008!$E$5,1)</f>
        <v>59.477070499657771</v>
      </c>
      <c r="M8" s="3" t="s">
        <v>446</v>
      </c>
      <c r="N8" s="3" t="s">
        <v>396</v>
      </c>
      <c r="O8" s="3" t="s">
        <v>447</v>
      </c>
      <c r="P8" s="3" t="s">
        <v>397</v>
      </c>
      <c r="Q8" s="42">
        <v>45932</v>
      </c>
      <c r="R8" s="56" t="s">
        <v>448</v>
      </c>
      <c r="S8" s="75">
        <f t="shared" ref="S8:S17" si="2">YEARFRAC(I8,Q8,1)</f>
        <v>58.23067285382831</v>
      </c>
      <c r="T8" s="19" t="str">
        <f>IF(Tableau35[[#This Row],[Âge Fin 26]]&lt;40,"5",IF(Tableau35[[#This Row],[Âge Fin 26]]&lt;50,"4",IF(Tableau35[[#This Row],[Âge Fin 26]]&lt;55,"3","2")))</f>
        <v>2</v>
      </c>
      <c r="U8" s="6">
        <f t="shared" ref="U8:U17" si="3">EDATE(Q8, (12*T8))</f>
        <v>46662</v>
      </c>
      <c r="V8" s="42">
        <v>45691</v>
      </c>
      <c r="W8" s="41" t="s">
        <v>48</v>
      </c>
      <c r="X8" s="75">
        <f t="shared" ref="X8:X17" si="4">YEARFRAC(I8,V8,1)</f>
        <v>57.570858468677493</v>
      </c>
      <c r="Y8" s="6" t="str">
        <f>IF(Tableau35[[#This Row],[Âge Fin 26]]&lt;40,"5",IF(Tableau35[[#This Row],[Âge Fin 26]]&lt;55,"3","2"))</f>
        <v>2</v>
      </c>
      <c r="Z8" s="6">
        <f t="shared" ref="Z8:Z17" si="5">EDATE(V8, (12*Y8))</f>
        <v>46421</v>
      </c>
      <c r="AA8" s="42">
        <v>45272</v>
      </c>
      <c r="AB8" s="3" t="str">
        <f ca="1">IF(Tableau35[[#This Row],[Date prochaine évaluation]]&gt; TODAY(),"Réussi","Examen expiré")</f>
        <v>Examen expiré</v>
      </c>
      <c r="AC8" s="6">
        <f t="shared" ref="AC8:AC17" si="6">EDATE(AA8, 12)</f>
        <v>45638</v>
      </c>
    </row>
    <row r="9" spans="2:29" ht="48" x14ac:dyDescent="0.35">
      <c r="B9" s="41" t="s">
        <v>461</v>
      </c>
      <c r="C9" s="60" t="s">
        <v>462</v>
      </c>
      <c r="D9" s="58" t="s">
        <v>56</v>
      </c>
      <c r="E9" s="85"/>
      <c r="F9" s="65" t="str">
        <f ca="1">IF(Tableau35[[#This Row],[Date d''expiration ]]&gt;TODAY()+31,"✅",IF(Tableau35[[#This Row],[Date d''expiration ]]&gt; TODAY()+1, "⚠️","⛔️"))</f>
        <v>✅</v>
      </c>
      <c r="G9" s="6">
        <f t="shared" si="0"/>
        <v>46491</v>
      </c>
      <c r="H9" s="42" t="str">
        <f ca="1">IF(Tableau35[[#This Row],[Date d''expiration ]]&gt;TODAY(),"Néant","Cas à justifier")</f>
        <v>Néant</v>
      </c>
      <c r="I9" s="2">
        <v>33199</v>
      </c>
      <c r="J9" s="75">
        <f t="shared" ca="1" si="1"/>
        <v>35.789847565487641</v>
      </c>
      <c r="K9" s="75">
        <f>YEARFRAC(I9,RG_DRH_S1_008!$E$4,1)</f>
        <v>35.107460643394937</v>
      </c>
      <c r="L9" s="75">
        <f>YEARFRAC(I9,RG_DRH_S1_008!$E$5,1)</f>
        <v>36.107444132011246</v>
      </c>
      <c r="M9" s="3" t="s">
        <v>446</v>
      </c>
      <c r="N9" s="3" t="s">
        <v>396</v>
      </c>
      <c r="O9" s="3" t="s">
        <v>447</v>
      </c>
      <c r="P9" s="3" t="s">
        <v>397</v>
      </c>
      <c r="Q9" s="42">
        <v>44665</v>
      </c>
      <c r="R9" s="41" t="s">
        <v>47</v>
      </c>
      <c r="S9" s="75">
        <f t="shared" si="2"/>
        <v>31.392848253546834</v>
      </c>
      <c r="T9" s="19" t="str">
        <f>IF(Tableau35[[#This Row],[Âge Fin 26]]&lt;40,"5",IF(Tableau35[[#This Row],[Âge Fin 26]]&lt;50,"4",IF(Tableau35[[#This Row],[Âge Fin 26]]&lt;55,"3","2")))</f>
        <v>5</v>
      </c>
      <c r="U9" s="6">
        <f t="shared" si="3"/>
        <v>46491</v>
      </c>
      <c r="V9" s="42">
        <v>45812</v>
      </c>
      <c r="W9" s="41" t="s">
        <v>48</v>
      </c>
      <c r="X9" s="75">
        <f t="shared" si="4"/>
        <v>34.53251197809719</v>
      </c>
      <c r="Y9" s="6" t="str">
        <f>IF(Tableau35[[#This Row],[Âge Fin 26]]&lt;40,"5",IF(Tableau35[[#This Row],[Âge Fin 26]]&lt;55,"3","2"))</f>
        <v>5</v>
      </c>
      <c r="Z9" s="6">
        <f t="shared" si="5"/>
        <v>47638</v>
      </c>
      <c r="AA9" s="42">
        <v>46207</v>
      </c>
      <c r="AB9" s="3" t="str">
        <f ca="1">IF(Tableau35[[#This Row],[Date prochaine évaluation]]&gt; TODAY(),"Réussi","Examen expiré")</f>
        <v>Réussi</v>
      </c>
      <c r="AC9" s="6">
        <f t="shared" si="6"/>
        <v>46572</v>
      </c>
    </row>
    <row r="10" spans="2:29" ht="48" x14ac:dyDescent="0.35">
      <c r="B10" s="41" t="s">
        <v>464</v>
      </c>
      <c r="C10" s="60" t="s">
        <v>465</v>
      </c>
      <c r="D10" s="58" t="s">
        <v>56</v>
      </c>
      <c r="E10" s="85"/>
      <c r="F10" s="65" t="str">
        <f ca="1">IF(Tableau35[[#This Row],[Date d''expiration ]]&gt;TODAY()+31,"✅",IF(Tableau35[[#This Row],[Date d''expiration ]]&gt; TODAY()+1, "⚠️","⛔️"))</f>
        <v>✅</v>
      </c>
      <c r="G10" s="6">
        <f t="shared" si="0"/>
        <v>46415</v>
      </c>
      <c r="H10" s="42" t="str">
        <f ca="1">IF(Tableau35[[#This Row],[Date d''expiration ]]&gt;TODAY(),"Néant","Cas à justifier")</f>
        <v>Néant</v>
      </c>
      <c r="I10" s="2">
        <v>36550</v>
      </c>
      <c r="J10" s="75">
        <f t="shared" ca="1" si="1"/>
        <v>26.613972824984792</v>
      </c>
      <c r="K10" s="75">
        <f>YEARFRAC(I10,RG_DRH_S1_008!$E$4,1)</f>
        <v>25.931557333894915</v>
      </c>
      <c r="L10" s="75">
        <f>YEARFRAC(I10,RG_DRH_S1_008!$E$5,1)</f>
        <v>26.931555465422836</v>
      </c>
      <c r="M10" s="3" t="s">
        <v>446</v>
      </c>
      <c r="N10" s="3" t="s">
        <v>396</v>
      </c>
      <c r="O10" s="3" t="s">
        <v>447</v>
      </c>
      <c r="P10" s="3" t="s">
        <v>397</v>
      </c>
      <c r="Q10" s="42">
        <v>44698</v>
      </c>
      <c r="R10" s="41" t="s">
        <v>47</v>
      </c>
      <c r="S10" s="75">
        <f t="shared" si="2"/>
        <v>22.307344363766219</v>
      </c>
      <c r="T10" s="19" t="str">
        <f>IF(Tableau35[[#This Row],[Âge Fin 26]]&lt;40,"5",IF(Tableau35[[#This Row],[Âge Fin 26]]&lt;50,"4",IF(Tableau35[[#This Row],[Âge Fin 26]]&lt;55,"3","2")))</f>
        <v>5</v>
      </c>
      <c r="U10" s="6">
        <f t="shared" si="3"/>
        <v>46524</v>
      </c>
      <c r="V10" s="42">
        <v>46239</v>
      </c>
      <c r="W10" s="41" t="s">
        <v>48</v>
      </c>
      <c r="X10" s="75">
        <f t="shared" si="4"/>
        <v>26.526363820726022</v>
      </c>
      <c r="Y10" s="6" t="str">
        <f>IF(Tableau35[[#This Row],[Âge Fin 26]]&lt;40,"5",IF(Tableau35[[#This Row],[Âge Fin 26]]&lt;55,"3","2"))</f>
        <v>5</v>
      </c>
      <c r="Z10" s="6">
        <f t="shared" si="5"/>
        <v>48065</v>
      </c>
      <c r="AA10" s="42">
        <v>46050</v>
      </c>
      <c r="AB10" s="3" t="str">
        <f ca="1">IF(Tableau35[[#This Row],[Date prochaine évaluation]]&gt; TODAY(),"Réussi","Examen expiré")</f>
        <v>Réussi</v>
      </c>
      <c r="AC10" s="6">
        <f t="shared" si="6"/>
        <v>46415</v>
      </c>
    </row>
    <row r="11" spans="2:29" ht="48" x14ac:dyDescent="0.35">
      <c r="B11" s="41" t="s">
        <v>466</v>
      </c>
      <c r="C11" s="59" t="s">
        <v>467</v>
      </c>
      <c r="D11" s="58" t="s">
        <v>56</v>
      </c>
      <c r="E11" s="85"/>
      <c r="F11" s="65" t="str">
        <f ca="1">IF(Tableau35[[#This Row],[Date d''expiration ]]&gt;TODAY()+31,"✅",IF(Tableau35[[#This Row],[Date d''expiration ]]&gt; TODAY()+1, "⚠️","⛔️"))</f>
        <v>⛔️</v>
      </c>
      <c r="G11" s="6">
        <f t="shared" si="0"/>
        <v>46156</v>
      </c>
      <c r="H11" s="42" t="str">
        <f ca="1">IF(Tableau35[[#This Row],[Date d''expiration ]]&gt;TODAY(),"Néant","Cas à justifier")</f>
        <v>Cas à justifier</v>
      </c>
      <c r="I11" s="2">
        <v>36658</v>
      </c>
      <c r="J11" s="75">
        <f t="shared" ca="1" si="1"/>
        <v>26.31829243561144</v>
      </c>
      <c r="K11" s="75">
        <f>YEARFRAC(I11,RG_DRH_S1_008!$E$4,1)</f>
        <v>25.635885016320945</v>
      </c>
      <c r="L11" s="75">
        <f>YEARFRAC(I11,RG_DRH_S1_008!$E$5,1)</f>
        <v>26.635875076049484</v>
      </c>
      <c r="M11" s="3" t="s">
        <v>446</v>
      </c>
      <c r="N11" s="3" t="s">
        <v>396</v>
      </c>
      <c r="O11" s="3" t="s">
        <v>447</v>
      </c>
      <c r="P11" s="3" t="s">
        <v>397</v>
      </c>
      <c r="Q11" s="42">
        <v>45540</v>
      </c>
      <c r="R11" s="41" t="s">
        <v>47</v>
      </c>
      <c r="S11" s="75">
        <f t="shared" si="2"/>
        <v>24.315593517301799</v>
      </c>
      <c r="T11" s="19" t="str">
        <f>IF(Tableau35[[#This Row],[Âge Fin 26]]&lt;40,"5",IF(Tableau35[[#This Row],[Âge Fin 26]]&lt;50,"4",IF(Tableau35[[#This Row],[Âge Fin 26]]&lt;55,"3","2")))</f>
        <v>5</v>
      </c>
      <c r="U11" s="6">
        <f t="shared" si="3"/>
        <v>47366</v>
      </c>
      <c r="V11" s="42">
        <v>44981</v>
      </c>
      <c r="W11" s="41" t="s">
        <v>48</v>
      </c>
      <c r="X11" s="75">
        <f t="shared" si="4"/>
        <v>22.787132101300479</v>
      </c>
      <c r="Y11" s="6" t="str">
        <f>IF(Tableau35[[#This Row],[Âge Fin 26]]&lt;40,"5",IF(Tableau35[[#This Row],[Âge Fin 26]]&lt;55,"3","2"))</f>
        <v>5</v>
      </c>
      <c r="Z11" s="6">
        <f t="shared" si="5"/>
        <v>46807</v>
      </c>
      <c r="AA11" s="42">
        <v>45791</v>
      </c>
      <c r="AB11" s="3" t="str">
        <f ca="1">IF(Tableau35[[#This Row],[Date prochaine évaluation]]&gt; TODAY(),"Réussi","Examen expiré")</f>
        <v>Examen expiré</v>
      </c>
      <c r="AC11" s="6">
        <f t="shared" si="6"/>
        <v>46156</v>
      </c>
    </row>
    <row r="12" spans="2:29" ht="48" x14ac:dyDescent="0.35">
      <c r="B12" s="41" t="s">
        <v>468</v>
      </c>
      <c r="C12" s="60" t="s">
        <v>469</v>
      </c>
      <c r="D12" s="58" t="s">
        <v>56</v>
      </c>
      <c r="E12" s="85"/>
      <c r="F12" s="65" t="str">
        <f ca="1">IF(Tableau35[[#This Row],[Date d''expiration ]]&gt;TODAY()+31,"✅",IF(Tableau35[[#This Row],[Date d''expiration ]]&gt; TODAY()+1, "⚠️","⛔️"))</f>
        <v>⛔️</v>
      </c>
      <c r="G12" s="6">
        <f t="shared" si="0"/>
        <v>46267</v>
      </c>
      <c r="H12" s="42" t="str">
        <f ca="1">IF(Tableau35[[#This Row],[Date d''expiration ]]&gt;TODAY(),"Néant","Cas à justifier")</f>
        <v>Cas à justifier</v>
      </c>
      <c r="I12" s="2">
        <v>35637</v>
      </c>
      <c r="J12" s="75">
        <f t="shared" ca="1" si="1"/>
        <v>29.115633841379939</v>
      </c>
      <c r="K12" s="75">
        <f>YEARFRAC(I12,RG_DRH_S1_008!$E$4,1)</f>
        <v>28.433251510574017</v>
      </c>
      <c r="L12" s="75">
        <f>YEARFRAC(I12,RG_DRH_S1_008!$E$5,1)</f>
        <v>29.433239025280642</v>
      </c>
      <c r="M12" s="3" t="s">
        <v>446</v>
      </c>
      <c r="N12" s="3" t="s">
        <v>396</v>
      </c>
      <c r="O12" s="3" t="s">
        <v>447</v>
      </c>
      <c r="P12" s="3" t="s">
        <v>397</v>
      </c>
      <c r="Q12" s="42">
        <v>45615</v>
      </c>
      <c r="R12" s="41" t="s">
        <v>448</v>
      </c>
      <c r="S12" s="75">
        <f t="shared" si="2"/>
        <v>27.318275154004105</v>
      </c>
      <c r="T12" s="19" t="str">
        <f>IF(Tableau35[[#This Row],[Âge Fin 26]]&lt;40,"5",IF(Tableau35[[#This Row],[Âge Fin 26]]&lt;50,"4",IF(Tableau35[[#This Row],[Âge Fin 26]]&lt;55,"3","2")))</f>
        <v>5</v>
      </c>
      <c r="U12" s="6">
        <f t="shared" si="3"/>
        <v>47441</v>
      </c>
      <c r="V12" s="42">
        <v>45355</v>
      </c>
      <c r="W12" s="41" t="s">
        <v>48</v>
      </c>
      <c r="X12" s="75">
        <f t="shared" si="4"/>
        <v>26.606433949349761</v>
      </c>
      <c r="Y12" s="6" t="str">
        <f>IF(Tableau35[[#This Row],[Âge Fin 26]]&lt;40,"5",IF(Tableau35[[#This Row],[Âge Fin 26]]&lt;55,"3","2"))</f>
        <v>5</v>
      </c>
      <c r="Z12" s="6">
        <f t="shared" si="5"/>
        <v>47181</v>
      </c>
      <c r="AA12" s="42">
        <v>45902</v>
      </c>
      <c r="AB12" s="3" t="str">
        <f ca="1">IF(Tableau35[[#This Row],[Date prochaine évaluation]]&gt; TODAY(),"Réussi","Examen expiré")</f>
        <v>Examen expiré</v>
      </c>
      <c r="AC12" s="6">
        <f t="shared" si="6"/>
        <v>46267</v>
      </c>
    </row>
    <row r="13" spans="2:29" ht="48" x14ac:dyDescent="0.35">
      <c r="B13" s="41" t="s">
        <v>470</v>
      </c>
      <c r="C13" s="61" t="s">
        <v>471</v>
      </c>
      <c r="D13" s="58" t="s">
        <v>56</v>
      </c>
      <c r="E13" s="85"/>
      <c r="F13" s="65" t="str">
        <f ca="1">IF(Tableau35[[#This Row],[Date d''expiration ]]&gt;TODAY()+31,"✅",IF(Tableau35[[#This Row],[Date d''expiration ]]&gt; TODAY()+1, "⚠️","⛔️"))</f>
        <v>⛔️</v>
      </c>
      <c r="G13" s="6">
        <f t="shared" si="0"/>
        <v>46267</v>
      </c>
      <c r="H13" s="42" t="str">
        <f ca="1">IF(Tableau35[[#This Row],[Date d''expiration ]]&gt;TODAY(),"Néant","Cas à justifier")</f>
        <v>Cas à justifier</v>
      </c>
      <c r="I13" s="2">
        <v>36951</v>
      </c>
      <c r="J13" s="75">
        <f t="shared" ca="1" si="1"/>
        <v>25.518112889637742</v>
      </c>
      <c r="K13" s="75">
        <f>YEARFRAC(I13,RG_DRH_S1_008!$E$4,1)</f>
        <v>24.835724455152775</v>
      </c>
      <c r="L13" s="75">
        <f>YEARFRAC(I13,RG_DRH_S1_008!$E$5,1)</f>
        <v>25.835720303285594</v>
      </c>
      <c r="M13" s="3" t="s">
        <v>446</v>
      </c>
      <c r="N13" s="3" t="s">
        <v>396</v>
      </c>
      <c r="O13" s="3" t="s">
        <v>447</v>
      </c>
      <c r="P13" s="3" t="s">
        <v>397</v>
      </c>
      <c r="Q13" s="42">
        <v>45616</v>
      </c>
      <c r="R13" s="41" t="s">
        <v>47</v>
      </c>
      <c r="S13" s="75">
        <f t="shared" si="2"/>
        <v>23.723477070499658</v>
      </c>
      <c r="T13" s="19" t="str">
        <f>IF(Tableau35[[#This Row],[Âge Fin 26]]&lt;40,"5",IF(Tableau35[[#This Row],[Âge Fin 26]]&lt;50,"4",IF(Tableau35[[#This Row],[Âge Fin 26]]&lt;55,"3","2")))</f>
        <v>5</v>
      </c>
      <c r="U13" s="6">
        <f t="shared" si="3"/>
        <v>47442</v>
      </c>
      <c r="V13" s="42">
        <v>45357</v>
      </c>
      <c r="W13" s="41" t="s">
        <v>48</v>
      </c>
      <c r="X13" s="75">
        <f t="shared" si="4"/>
        <v>23.014373716632445</v>
      </c>
      <c r="Y13" s="6" t="str">
        <f>IF(Tableau35[[#This Row],[Âge Fin 26]]&lt;40,"5",IF(Tableau35[[#This Row],[Âge Fin 26]]&lt;55,"3","2"))</f>
        <v>5</v>
      </c>
      <c r="Z13" s="6">
        <f t="shared" si="5"/>
        <v>47183</v>
      </c>
      <c r="AA13" s="42">
        <v>45902</v>
      </c>
      <c r="AB13" s="3" t="str">
        <f ca="1">IF(Tableau35[[#This Row],[Date prochaine évaluation]]&gt; TODAY(),"Réussi","Examen expiré")</f>
        <v>Examen expiré</v>
      </c>
      <c r="AC13" s="6">
        <f t="shared" si="6"/>
        <v>46267</v>
      </c>
    </row>
    <row r="14" spans="2:29" ht="48" x14ac:dyDescent="0.35">
      <c r="B14" s="41" t="s">
        <v>1326</v>
      </c>
      <c r="C14" s="60" t="s">
        <v>472</v>
      </c>
      <c r="D14" s="58" t="s">
        <v>56</v>
      </c>
      <c r="E14" s="85"/>
      <c r="F14" s="65" t="str">
        <f ca="1">IF(Tableau35[[#This Row],[Date d''expiration ]]&gt;TODAY()+31,"✅",IF(Tableau35[[#This Row],[Date d''expiration ]]&gt; TODAY()+1, "⚠️","⛔️"))</f>
        <v>⛔️</v>
      </c>
      <c r="G14" s="6">
        <f t="shared" si="0"/>
        <v>46267</v>
      </c>
      <c r="H14" s="42" t="str">
        <f ca="1">IF(Tableau35[[#This Row],[Date d''expiration ]]&gt;TODAY(),"Néant","Cas à justifier")</f>
        <v>Cas à justifier</v>
      </c>
      <c r="I14" s="2">
        <v>34662</v>
      </c>
      <c r="J14" s="75">
        <f t="shared" ca="1" si="1"/>
        <v>31.784369036754335</v>
      </c>
      <c r="K14" s="75">
        <f>YEARFRAC(I14,RG_DRH_S1_008!$E$4,1)</f>
        <v>31.101984941820671</v>
      </c>
      <c r="L14" s="75">
        <f>YEARFRAC(I14,RG_DRH_S1_008!$E$5,1)</f>
        <v>32.101966315440137</v>
      </c>
      <c r="M14" s="3" t="s">
        <v>446</v>
      </c>
      <c r="N14" s="3" t="s">
        <v>396</v>
      </c>
      <c r="O14" s="3" t="s">
        <v>447</v>
      </c>
      <c r="P14" s="3" t="s">
        <v>397</v>
      </c>
      <c r="Q14" s="42">
        <v>45621</v>
      </c>
      <c r="R14" s="41" t="s">
        <v>448</v>
      </c>
      <c r="S14" s="75">
        <f t="shared" si="2"/>
        <v>30.003444316877154</v>
      </c>
      <c r="T14" s="19" t="str">
        <f>IF(Tableau35[[#This Row],[Âge Fin 26]]&lt;40,"5",IF(Tableau35[[#This Row],[Âge Fin 26]]&lt;50,"4",IF(Tableau35[[#This Row],[Âge Fin 26]]&lt;55,"3","2")))</f>
        <v>5</v>
      </c>
      <c r="U14" s="6">
        <f t="shared" si="3"/>
        <v>47447</v>
      </c>
      <c r="V14" s="42">
        <v>45356</v>
      </c>
      <c r="W14" s="41" t="s">
        <v>48</v>
      </c>
      <c r="X14" s="75">
        <f t="shared" si="4"/>
        <v>29.277929877241014</v>
      </c>
      <c r="Y14" s="6" t="str">
        <f>IF(Tableau35[[#This Row],[Âge Fin 26]]&lt;40,"5",IF(Tableau35[[#This Row],[Âge Fin 26]]&lt;55,"3","2"))</f>
        <v>5</v>
      </c>
      <c r="Z14" s="6">
        <f t="shared" si="5"/>
        <v>47182</v>
      </c>
      <c r="AA14" s="42">
        <v>45902</v>
      </c>
      <c r="AB14" s="3" t="str">
        <f ca="1">IF(Tableau35[[#This Row],[Date prochaine évaluation]]&gt; TODAY(),"Réussi","Examen expiré")</f>
        <v>Examen expiré</v>
      </c>
      <c r="AC14" s="6">
        <f t="shared" si="6"/>
        <v>46267</v>
      </c>
    </row>
    <row r="15" spans="2:29" ht="48" x14ac:dyDescent="0.35">
      <c r="B15" s="41" t="s">
        <v>473</v>
      </c>
      <c r="C15" s="58" t="s">
        <v>474</v>
      </c>
      <c r="D15" s="58" t="s">
        <v>56</v>
      </c>
      <c r="E15" s="85"/>
      <c r="F15" s="65" t="str">
        <f ca="1">IF(Tableau35[[#This Row],[Date d''expiration ]]&gt;TODAY()+31,"✅",IF(Tableau35[[#This Row],[Date d''expiration ]]&gt; TODAY()+1, "⚠️","⛔️"))</f>
        <v>✅</v>
      </c>
      <c r="G15" s="6">
        <f t="shared" si="0"/>
        <v>46333</v>
      </c>
      <c r="H15" s="42" t="str">
        <f ca="1">IF(Tableau35[[#This Row],[Date d''expiration ]]&gt;TODAY(),"Néant","Cas à justifier")</f>
        <v>Néant</v>
      </c>
      <c r="I15" s="2">
        <v>34693</v>
      </c>
      <c r="J15" s="75">
        <f t="shared" ca="1" si="1"/>
        <v>31.699493901933128</v>
      </c>
      <c r="K15" s="75">
        <f>YEARFRAC(I15,RG_DRH_S1_008!$E$4,1)</f>
        <v>31.017111567419576</v>
      </c>
      <c r="L15" s="75">
        <f>YEARFRAC(I15,RG_DRH_S1_008!$E$5,1)</f>
        <v>32.017091180618934</v>
      </c>
      <c r="M15" s="3" t="s">
        <v>454</v>
      </c>
      <c r="N15" s="3" t="s">
        <v>396</v>
      </c>
      <c r="O15" s="3" t="s">
        <v>447</v>
      </c>
      <c r="P15" s="3" t="s">
        <v>397</v>
      </c>
      <c r="Q15" s="42">
        <v>45334</v>
      </c>
      <c r="R15" s="41" t="s">
        <v>47</v>
      </c>
      <c r="S15" s="75">
        <f t="shared" si="2"/>
        <v>29.132826989313788</v>
      </c>
      <c r="T15" s="19" t="str">
        <f>IF(Tableau35[[#This Row],[Âge Fin 26]]&lt;40,"5",IF(Tableau35[[#This Row],[Âge Fin 26]]&lt;50,"4",IF(Tableau35[[#This Row],[Âge Fin 26]]&lt;55,"3","2")))</f>
        <v>5</v>
      </c>
      <c r="U15" s="6">
        <f t="shared" si="3"/>
        <v>47161</v>
      </c>
      <c r="V15" s="42">
        <v>44949</v>
      </c>
      <c r="W15" s="41" t="s">
        <v>48</v>
      </c>
      <c r="X15" s="75">
        <f t="shared" si="4"/>
        <v>28.080679017979374</v>
      </c>
      <c r="Y15" s="6" t="str">
        <f>IF(Tableau35[[#This Row],[Âge Fin 26]]&lt;40,"5",IF(Tableau35[[#This Row],[Âge Fin 26]]&lt;55,"3","2"))</f>
        <v>5</v>
      </c>
      <c r="Z15" s="6">
        <f t="shared" si="5"/>
        <v>46775</v>
      </c>
      <c r="AA15" s="42">
        <v>45968</v>
      </c>
      <c r="AB15" s="3" t="str">
        <f ca="1">IF(Tableau35[[#This Row],[Date prochaine évaluation]]&gt; TODAY(),"Réussi","Examen expiré")</f>
        <v>Réussi</v>
      </c>
      <c r="AC15" s="6">
        <f t="shared" si="6"/>
        <v>46333</v>
      </c>
    </row>
    <row r="16" spans="2:29" ht="48" x14ac:dyDescent="0.35">
      <c r="B16" s="41" t="s">
        <v>475</v>
      </c>
      <c r="C16" s="58" t="s">
        <v>476</v>
      </c>
      <c r="D16" s="58" t="s">
        <v>56</v>
      </c>
      <c r="E16" s="85"/>
      <c r="F16" s="65" t="str">
        <f ca="1">IF(Tableau35[[#This Row],[Date d''expiration ]]&gt;TODAY()+31,"✅",IF(Tableau35[[#This Row],[Date d''expiration ]]&gt; TODAY()+1, "⚠️","⛔️"))</f>
        <v>✅</v>
      </c>
      <c r="G16" s="6">
        <f t="shared" si="0"/>
        <v>46333</v>
      </c>
      <c r="H16" s="42" t="str">
        <f ca="1">IF(Tableau35[[#This Row],[Date d''expiration ]]&gt;TODAY(),"Néant","Cas à justifier")</f>
        <v>Néant</v>
      </c>
      <c r="I16" s="2">
        <v>34380</v>
      </c>
      <c r="J16" s="75">
        <f t="shared" ca="1" si="1"/>
        <v>32.556458972869827</v>
      </c>
      <c r="K16" s="75">
        <f>YEARFRAC(I16,RG_DRH_S1_008!$E$4,1)</f>
        <v>31.874058863791923</v>
      </c>
      <c r="L16" s="75">
        <f>YEARFRAC(I16,RG_DRH_S1_008!$E$5,1)</f>
        <v>32.874056251555629</v>
      </c>
      <c r="M16" s="3" t="s">
        <v>454</v>
      </c>
      <c r="N16" s="3" t="s">
        <v>477</v>
      </c>
      <c r="O16" s="3" t="s">
        <v>447</v>
      </c>
      <c r="P16" s="3" t="s">
        <v>397</v>
      </c>
      <c r="Q16" s="42">
        <v>45336</v>
      </c>
      <c r="R16" s="41" t="s">
        <v>47</v>
      </c>
      <c r="S16" s="75">
        <f t="shared" si="2"/>
        <v>29.995230945862403</v>
      </c>
      <c r="T16" s="19" t="str">
        <f>IF(Tableau35[[#This Row],[Âge Fin 26]]&lt;40,"5",IF(Tableau35[[#This Row],[Âge Fin 26]]&lt;50,"4",IF(Tableau35[[#This Row],[Âge Fin 26]]&lt;55,"3","2")))</f>
        <v>5</v>
      </c>
      <c r="U16" s="6">
        <f t="shared" si="3"/>
        <v>47163</v>
      </c>
      <c r="V16" s="42">
        <v>44950</v>
      </c>
      <c r="W16" s="41" t="s">
        <v>48</v>
      </c>
      <c r="X16" s="75">
        <f t="shared" si="4"/>
        <v>28.940403395089895</v>
      </c>
      <c r="Y16" s="6" t="str">
        <f>IF(Tableau35[[#This Row],[Âge Fin 26]]&lt;40,"5",IF(Tableau35[[#This Row],[Âge Fin 26]]&lt;55,"3","2"))</f>
        <v>5</v>
      </c>
      <c r="Z16" s="6">
        <f t="shared" si="5"/>
        <v>46776</v>
      </c>
      <c r="AA16" s="42">
        <v>45968</v>
      </c>
      <c r="AB16" s="3" t="str">
        <f ca="1">IF(Tableau35[[#This Row],[Date prochaine évaluation]]&gt; TODAY(),"Réussi","Examen expiré")</f>
        <v>Réussi</v>
      </c>
      <c r="AC16" s="6">
        <f t="shared" si="6"/>
        <v>46333</v>
      </c>
    </row>
    <row r="17" spans="2:29" ht="34.5" x14ac:dyDescent="0.35">
      <c r="B17" s="41" t="s">
        <v>478</v>
      </c>
      <c r="C17" s="41" t="s">
        <v>479</v>
      </c>
      <c r="D17" s="41" t="s">
        <v>56</v>
      </c>
      <c r="E17" s="39"/>
      <c r="F17" s="65" t="str">
        <f ca="1">IF(Tableau35[[#This Row],[Date d''expiration ]]&gt;TODAY()+31,"✅",IF(Tableau35[[#This Row],[Date d''expiration ]]&gt; TODAY()+1, "⚠️","⛔️"))</f>
        <v>⚠️</v>
      </c>
      <c r="G17" s="6">
        <f t="shared" si="0"/>
        <v>46283</v>
      </c>
      <c r="H17" s="42" t="str">
        <f ca="1">IF(Tableau35[[#This Row],[Date d''expiration ]]&gt;TODAY(),"Néant","Cas à justifier")</f>
        <v>Néant</v>
      </c>
      <c r="I17" s="21">
        <v>37565</v>
      </c>
      <c r="J17" s="75">
        <f t="shared" ca="1" si="1"/>
        <v>23.836381557332164</v>
      </c>
      <c r="K17" s="75">
        <f>YEARFRAC(I17,RG_DRH_S1_008!$E$4,1)</f>
        <v>23.154004106776181</v>
      </c>
      <c r="L17" s="75">
        <f>YEARFRAC(I17,RG_DRH_S1_008!$E$5,1)</f>
        <v>24.153980944036796</v>
      </c>
      <c r="M17" s="3" t="s">
        <v>454</v>
      </c>
      <c r="N17" s="9"/>
      <c r="O17" s="3" t="s">
        <v>447</v>
      </c>
      <c r="P17" s="3" t="s">
        <v>397</v>
      </c>
      <c r="Q17" s="42">
        <v>45642</v>
      </c>
      <c r="R17" s="41" t="s">
        <v>448</v>
      </c>
      <c r="S17" s="75">
        <f t="shared" si="2"/>
        <v>22.112962742530652</v>
      </c>
      <c r="T17" s="19" t="str">
        <f>IF(Tableau35[[#This Row],[Âge Fin 26]]&lt;40,"5",IF(Tableau35[[#This Row],[Âge Fin 26]]&lt;50,"4",IF(Tableau35[[#This Row],[Âge Fin 26]]&lt;55,"3","2")))</f>
        <v>5</v>
      </c>
      <c r="U17" s="6">
        <f t="shared" si="3"/>
        <v>47468</v>
      </c>
      <c r="V17" s="42">
        <v>45786</v>
      </c>
      <c r="W17" s="41" t="s">
        <v>48</v>
      </c>
      <c r="X17" s="75">
        <f t="shared" si="4"/>
        <v>22.507871321013006</v>
      </c>
      <c r="Y17" s="6" t="str">
        <f>IF(Tableau35[[#This Row],[Âge Fin 26]]&lt;40,"5",IF(Tableau35[[#This Row],[Âge Fin 26]]&lt;55,"3","2"))</f>
        <v>5</v>
      </c>
      <c r="Z17" s="6">
        <f t="shared" si="5"/>
        <v>47612</v>
      </c>
      <c r="AA17" s="42">
        <v>45918</v>
      </c>
      <c r="AB17" s="3" t="str">
        <f ca="1">IF(Tableau35[[#This Row],[Date prochaine évaluation]]&gt; TODAY(),"Réussi","Examen expiré")</f>
        <v>Réussi</v>
      </c>
      <c r="AC17" s="6">
        <f t="shared" si="6"/>
        <v>46283</v>
      </c>
    </row>
    <row r="18" spans="2:29" ht="32" x14ac:dyDescent="0.35">
      <c r="B18" s="41" t="s">
        <v>480</v>
      </c>
      <c r="C18" s="41"/>
      <c r="D18" s="41" t="s">
        <v>56</v>
      </c>
      <c r="E18" s="41"/>
      <c r="F18" s="8" t="str">
        <f ca="1">IF(Tableau35[[#This Row],[Date d''expiration ]]&gt;TODAY()+31,"✅",IF(Tableau35[[#This Row],[Date d''expiration ]]&gt; TODAY()+1, "⚠️","⛔️"))</f>
        <v>⚠️</v>
      </c>
      <c r="G18" s="6">
        <f t="shared" ref="G18" si="7">MIN(U18,Z18,AC18)</f>
        <v>46283</v>
      </c>
      <c r="H18" s="42" t="str">
        <f ca="1">IF(Tableau35[[#This Row],[Date d''expiration ]]&gt;TODAY(),"Néant","Cas à justifier")</f>
        <v>Néant</v>
      </c>
      <c r="I18" s="21">
        <v>37565</v>
      </c>
      <c r="J18" s="75">
        <f t="shared" ref="J18" ca="1" si="8">YEARFRAC(I18,TODAY(),1)</f>
        <v>23.836381557332164</v>
      </c>
      <c r="K18" s="75">
        <f>YEARFRAC(I18,RG_DRH_S1_008!$E$4,1)</f>
        <v>23.154004106776181</v>
      </c>
      <c r="L18" s="75">
        <f>YEARFRAC(I18,RG_DRH_S1_008!$E$5,1)</f>
        <v>24.153980944036796</v>
      </c>
      <c r="M18" s="3" t="s">
        <v>454</v>
      </c>
      <c r="N18" s="9"/>
      <c r="O18" s="3" t="s">
        <v>447</v>
      </c>
      <c r="P18" s="3" t="s">
        <v>397</v>
      </c>
      <c r="Q18" s="42">
        <v>45642</v>
      </c>
      <c r="R18" s="41" t="s">
        <v>448</v>
      </c>
      <c r="S18" s="75">
        <f t="shared" ref="S18" si="9">YEARFRAC(I18,Q18,1)</f>
        <v>22.112962742530652</v>
      </c>
      <c r="T18" s="19" t="str">
        <f>IF(Tableau35[[#This Row],[Âge Fin 26]]&lt;40,"5",IF(Tableau35[[#This Row],[Âge Fin 26]]&lt;50,"4",IF(Tableau35[[#This Row],[Âge Fin 26]]&lt;55,"3","2")))</f>
        <v>5</v>
      </c>
      <c r="U18" s="6">
        <f t="shared" ref="U18" si="10">EDATE(Q18, (12*T18))</f>
        <v>47468</v>
      </c>
      <c r="V18" s="42">
        <v>45786</v>
      </c>
      <c r="W18" s="41" t="s">
        <v>48</v>
      </c>
      <c r="X18" s="75">
        <f t="shared" ref="X18" si="11">YEARFRAC(I18,V18,1)</f>
        <v>22.507871321013006</v>
      </c>
      <c r="Y18" s="6" t="str">
        <f>IF(Tableau35[[#This Row],[Âge Fin 26]]&lt;40,"5",IF(Tableau35[[#This Row],[Âge Fin 26]]&lt;55,"3","2"))</f>
        <v>5</v>
      </c>
      <c r="Z18" s="6">
        <f>EDATE(V18, (12*Y18))</f>
        <v>47612</v>
      </c>
      <c r="AA18" s="42">
        <v>45918</v>
      </c>
      <c r="AB18" s="3" t="str">
        <f ca="1">IF(Tableau35[[#This Row],[Date prochaine évaluation]]&gt; TODAY(),"Réussi","Examen expiré")</f>
        <v>Réussi</v>
      </c>
      <c r="AC18" s="6">
        <f t="shared" ref="AC18" si="12">EDATE(AA18, 12)</f>
        <v>46283</v>
      </c>
    </row>
    <row r="19" spans="2:29" x14ac:dyDescent="0.35">
      <c r="B19" s="44"/>
      <c r="C19" s="44"/>
      <c r="D19" s="44"/>
      <c r="E19" s="44"/>
      <c r="H19" s="47"/>
      <c r="Q19" s="44"/>
      <c r="R19" s="44"/>
      <c r="V19" s="44"/>
      <c r="W19" s="44"/>
      <c r="AA19" s="44"/>
    </row>
    <row r="20" spans="2:29" x14ac:dyDescent="0.35">
      <c r="B20" s="44"/>
      <c r="C20" s="44"/>
      <c r="D20" s="44"/>
      <c r="E20" s="44"/>
      <c r="H20" s="47"/>
      <c r="Q20" s="44"/>
      <c r="R20" s="44"/>
      <c r="V20" s="44"/>
      <c r="W20" s="44"/>
      <c r="AA20" s="44"/>
    </row>
    <row r="21" spans="2:29" x14ac:dyDescent="0.35">
      <c r="B21" s="44"/>
      <c r="C21" s="44"/>
      <c r="D21" s="44"/>
      <c r="E21" s="44"/>
      <c r="H21" s="47"/>
      <c r="Q21" s="44"/>
      <c r="R21" s="44"/>
      <c r="V21" s="44"/>
      <c r="W21" s="44"/>
      <c r="AA21" s="44"/>
    </row>
    <row r="22" spans="2:29" x14ac:dyDescent="0.35">
      <c r="B22" s="44"/>
      <c r="C22" s="44"/>
      <c r="D22" s="44"/>
      <c r="E22" s="44"/>
      <c r="H22" s="47"/>
      <c r="Q22" s="44"/>
      <c r="R22" s="44"/>
      <c r="V22" s="44"/>
      <c r="W22" s="44"/>
      <c r="AA22" s="44"/>
    </row>
    <row r="23" spans="2:29" x14ac:dyDescent="0.35">
      <c r="B23" s="44"/>
      <c r="C23" s="44"/>
      <c r="D23" s="44"/>
      <c r="E23" s="44"/>
      <c r="H23" s="47"/>
      <c r="Q23" s="44"/>
      <c r="R23" s="44"/>
      <c r="V23" s="44"/>
      <c r="W23" s="44"/>
      <c r="AA23" s="44"/>
    </row>
    <row r="24" spans="2:29" x14ac:dyDescent="0.35">
      <c r="B24" s="44"/>
      <c r="C24" s="44"/>
      <c r="D24" s="44"/>
      <c r="E24" s="44"/>
      <c r="H24" s="47"/>
      <c r="Q24" s="44"/>
      <c r="R24" s="44"/>
      <c r="V24" s="44"/>
      <c r="W24" s="44"/>
      <c r="AA24" s="44"/>
    </row>
    <row r="25" spans="2:29" x14ac:dyDescent="0.35">
      <c r="B25" s="44"/>
      <c r="C25" s="44"/>
      <c r="D25" s="44"/>
      <c r="E25" s="44"/>
      <c r="H25" s="47"/>
      <c r="Q25" s="44"/>
      <c r="R25" s="44"/>
      <c r="V25" s="44"/>
      <c r="W25" s="44"/>
      <c r="AA25" s="44"/>
    </row>
    <row r="26" spans="2:29" x14ac:dyDescent="0.35">
      <c r="B26" s="44"/>
      <c r="C26" s="44"/>
      <c r="D26" s="44"/>
      <c r="E26" s="44"/>
      <c r="H26" s="47"/>
      <c r="Q26" s="44"/>
      <c r="R26" s="44"/>
      <c r="V26" s="44"/>
      <c r="W26" s="44"/>
      <c r="AA26" s="44"/>
    </row>
    <row r="27" spans="2:29" x14ac:dyDescent="0.35">
      <c r="B27" s="44"/>
      <c r="C27" s="44"/>
      <c r="D27" s="44"/>
      <c r="E27" s="44"/>
      <c r="H27" s="47"/>
      <c r="Q27" s="44"/>
      <c r="R27" s="44"/>
      <c r="V27" s="44"/>
      <c r="W27" s="44"/>
      <c r="AA27" s="44"/>
    </row>
    <row r="28" spans="2:29" x14ac:dyDescent="0.35">
      <c r="B28" s="44"/>
      <c r="C28" s="44"/>
      <c r="D28" s="44"/>
      <c r="E28" s="44"/>
      <c r="H28" s="47"/>
      <c r="Q28" s="44"/>
      <c r="R28" s="44"/>
      <c r="V28" s="44"/>
      <c r="W28" s="44"/>
      <c r="AA28" s="44"/>
    </row>
    <row r="29" spans="2:29" x14ac:dyDescent="0.35">
      <c r="B29" s="44"/>
      <c r="C29" s="44"/>
      <c r="D29" s="44"/>
      <c r="E29" s="44"/>
      <c r="H29" s="47"/>
      <c r="Q29" s="44"/>
      <c r="R29" s="44"/>
      <c r="V29" s="44"/>
      <c r="W29" s="44"/>
      <c r="AA29" s="44"/>
    </row>
    <row r="30" spans="2:29" x14ac:dyDescent="0.35">
      <c r="B30" s="44"/>
      <c r="C30" s="44"/>
      <c r="D30" s="44"/>
      <c r="E30" s="44"/>
      <c r="H30" s="47"/>
      <c r="Q30" s="44"/>
      <c r="R30" s="44"/>
      <c r="V30" s="44"/>
      <c r="W30" s="44"/>
      <c r="AA30" s="44"/>
    </row>
    <row r="31" spans="2:29" x14ac:dyDescent="0.35">
      <c r="B31" s="44"/>
      <c r="C31" s="44"/>
      <c r="D31" s="44"/>
      <c r="E31" s="44"/>
      <c r="H31" s="47"/>
      <c r="Q31" s="44"/>
      <c r="R31" s="44"/>
      <c r="V31" s="44"/>
      <c r="W31" s="44"/>
      <c r="AA31" s="44"/>
    </row>
    <row r="32" spans="2:29" x14ac:dyDescent="0.35">
      <c r="B32" s="44"/>
      <c r="C32" s="44"/>
      <c r="D32" s="44"/>
      <c r="E32" s="44"/>
      <c r="H32" s="47"/>
      <c r="Q32" s="44"/>
      <c r="R32" s="44"/>
      <c r="V32" s="44"/>
      <c r="W32" s="44"/>
      <c r="AA32" s="44"/>
    </row>
    <row r="33" spans="2:27" x14ac:dyDescent="0.35">
      <c r="B33" s="44"/>
      <c r="C33" s="44"/>
      <c r="D33" s="44"/>
      <c r="E33" s="44"/>
      <c r="H33" s="47"/>
      <c r="Q33" s="44"/>
      <c r="R33" s="44"/>
      <c r="V33" s="44"/>
      <c r="W33" s="44"/>
      <c r="AA33" s="44"/>
    </row>
    <row r="34" spans="2:27" x14ac:dyDescent="0.35">
      <c r="B34" s="44"/>
      <c r="C34" s="44"/>
      <c r="D34" s="44"/>
      <c r="E34" s="44"/>
      <c r="H34" s="47"/>
      <c r="Q34" s="44"/>
      <c r="R34" s="44"/>
      <c r="V34" s="44"/>
      <c r="W34" s="44"/>
      <c r="AA34" s="44"/>
    </row>
    <row r="35" spans="2:27" x14ac:dyDescent="0.35">
      <c r="B35" s="44"/>
      <c r="C35" s="44"/>
      <c r="D35" s="44"/>
      <c r="E35" s="44"/>
      <c r="H35" s="47"/>
      <c r="Q35" s="44"/>
      <c r="R35" s="44"/>
      <c r="V35" s="44"/>
      <c r="W35" s="44"/>
      <c r="AA35" s="44"/>
    </row>
    <row r="36" spans="2:27" x14ac:dyDescent="0.35">
      <c r="B36" s="44"/>
      <c r="C36" s="44"/>
      <c r="D36" s="44"/>
      <c r="E36" s="44"/>
      <c r="H36" s="47"/>
      <c r="Q36" s="44"/>
      <c r="R36" s="44"/>
      <c r="V36" s="44"/>
      <c r="W36" s="44"/>
      <c r="AA36" s="44"/>
    </row>
    <row r="37" spans="2:27" x14ac:dyDescent="0.35">
      <c r="B37" s="44"/>
      <c r="C37" s="44"/>
      <c r="D37" s="44"/>
      <c r="E37" s="44"/>
      <c r="H37" s="47"/>
      <c r="Q37" s="44"/>
      <c r="R37" s="44"/>
      <c r="V37" s="44"/>
      <c r="W37" s="44"/>
      <c r="AA37" s="44"/>
    </row>
    <row r="38" spans="2:27" x14ac:dyDescent="0.35">
      <c r="B38" s="44"/>
      <c r="C38" s="44"/>
      <c r="D38" s="44"/>
      <c r="E38" s="44"/>
      <c r="H38" s="47"/>
      <c r="Q38" s="44"/>
      <c r="R38" s="44"/>
      <c r="V38" s="44"/>
      <c r="W38" s="44"/>
      <c r="AA38" s="44"/>
    </row>
    <row r="39" spans="2:27" x14ac:dyDescent="0.35">
      <c r="B39" s="44"/>
      <c r="C39" s="44"/>
      <c r="D39" s="44"/>
      <c r="E39" s="44"/>
      <c r="H39" s="47"/>
      <c r="Q39" s="44"/>
      <c r="R39" s="44"/>
      <c r="V39" s="44"/>
      <c r="W39" s="44"/>
      <c r="AA39" s="44"/>
    </row>
    <row r="40" spans="2:27" x14ac:dyDescent="0.35">
      <c r="B40" s="44"/>
      <c r="C40" s="44"/>
      <c r="D40" s="44"/>
      <c r="E40" s="44"/>
      <c r="H40" s="47"/>
      <c r="Q40" s="44"/>
      <c r="R40" s="44"/>
      <c r="V40" s="44"/>
      <c r="W40" s="44"/>
      <c r="AA40" s="44"/>
    </row>
    <row r="41" spans="2:27" x14ac:dyDescent="0.35">
      <c r="B41" s="44"/>
      <c r="C41" s="44"/>
      <c r="D41" s="44"/>
      <c r="E41" s="44"/>
      <c r="H41" s="47"/>
      <c r="Q41" s="44"/>
      <c r="R41" s="44"/>
      <c r="V41" s="44"/>
      <c r="W41" s="44"/>
      <c r="AA41" s="44"/>
    </row>
    <row r="42" spans="2:27" x14ac:dyDescent="0.35">
      <c r="B42" s="44"/>
      <c r="C42" s="44"/>
      <c r="D42" s="44"/>
      <c r="E42" s="44"/>
      <c r="H42" s="47"/>
      <c r="Q42" s="44"/>
      <c r="R42" s="44"/>
      <c r="V42" s="44"/>
      <c r="W42" s="44"/>
      <c r="AA42" s="44"/>
    </row>
    <row r="43" spans="2:27" x14ac:dyDescent="0.35">
      <c r="B43" s="44"/>
      <c r="C43" s="44"/>
      <c r="D43" s="44"/>
      <c r="E43" s="44"/>
      <c r="H43" s="47"/>
      <c r="Q43" s="44"/>
      <c r="R43" s="44"/>
      <c r="V43" s="44"/>
      <c r="W43" s="44"/>
      <c r="AA43" s="44"/>
    </row>
    <row r="44" spans="2:27" x14ac:dyDescent="0.35">
      <c r="B44" s="44"/>
      <c r="C44" s="44"/>
      <c r="D44" s="44"/>
      <c r="E44" s="44"/>
      <c r="H44" s="47"/>
      <c r="Q44" s="44"/>
      <c r="R44" s="44"/>
      <c r="V44" s="44"/>
      <c r="W44" s="44"/>
      <c r="AA44" s="44"/>
    </row>
    <row r="45" spans="2:27" x14ac:dyDescent="0.35">
      <c r="B45" s="44"/>
      <c r="C45" s="44"/>
      <c r="D45" s="44"/>
      <c r="E45" s="44"/>
      <c r="H45" s="47"/>
      <c r="Q45" s="44"/>
      <c r="R45" s="44"/>
      <c r="V45" s="44"/>
      <c r="W45" s="44"/>
      <c r="AA45" s="44"/>
    </row>
    <row r="46" spans="2:27" x14ac:dyDescent="0.35">
      <c r="B46" s="44"/>
      <c r="C46" s="44"/>
      <c r="D46" s="44"/>
      <c r="E46" s="44"/>
      <c r="H46" s="47"/>
      <c r="Q46" s="44"/>
      <c r="R46" s="44"/>
      <c r="V46" s="44"/>
      <c r="W46" s="44"/>
      <c r="AA46" s="44"/>
    </row>
    <row r="47" spans="2:27" x14ac:dyDescent="0.35">
      <c r="B47" s="44"/>
      <c r="C47" s="44"/>
      <c r="D47" s="44"/>
      <c r="E47" s="44"/>
      <c r="H47" s="47"/>
      <c r="Q47" s="44"/>
      <c r="R47" s="44"/>
      <c r="V47" s="44"/>
      <c r="W47" s="44"/>
      <c r="AA47" s="44"/>
    </row>
    <row r="48" spans="2:27" x14ac:dyDescent="0.35">
      <c r="B48" s="44"/>
      <c r="C48" s="44"/>
      <c r="D48" s="44"/>
      <c r="E48" s="44"/>
      <c r="H48" s="47"/>
      <c r="Q48" s="44"/>
      <c r="R48" s="44"/>
      <c r="V48" s="44"/>
      <c r="W48" s="44"/>
      <c r="AA48" s="44"/>
    </row>
    <row r="49" spans="2:27" x14ac:dyDescent="0.35">
      <c r="B49" s="44"/>
      <c r="C49" s="44"/>
      <c r="D49" s="44"/>
      <c r="E49" s="44"/>
      <c r="H49" s="47"/>
      <c r="Q49" s="44"/>
      <c r="R49" s="44"/>
      <c r="V49" s="44"/>
      <c r="W49" s="44"/>
      <c r="AA49" s="44"/>
    </row>
    <row r="50" spans="2:27" x14ac:dyDescent="0.35">
      <c r="B50" s="44"/>
      <c r="C50" s="44"/>
      <c r="D50" s="44"/>
      <c r="E50" s="44"/>
      <c r="H50" s="47"/>
      <c r="Q50" s="44"/>
      <c r="R50" s="44"/>
      <c r="V50" s="44"/>
      <c r="W50" s="44"/>
      <c r="AA50" s="44"/>
    </row>
    <row r="51" spans="2:27" x14ac:dyDescent="0.35">
      <c r="B51" s="44"/>
      <c r="C51" s="44"/>
      <c r="D51" s="44"/>
      <c r="E51" s="44"/>
      <c r="H51" s="47"/>
      <c r="Q51" s="44"/>
      <c r="R51" s="44"/>
      <c r="V51" s="44"/>
      <c r="W51" s="44"/>
      <c r="AA51" s="44"/>
    </row>
    <row r="52" spans="2:27" x14ac:dyDescent="0.35">
      <c r="B52" s="44"/>
      <c r="C52" s="44"/>
      <c r="D52" s="44"/>
      <c r="E52" s="44"/>
      <c r="H52" s="47"/>
      <c r="Q52" s="44"/>
      <c r="R52" s="44"/>
      <c r="V52" s="44"/>
      <c r="W52" s="44"/>
      <c r="AA52" s="44"/>
    </row>
    <row r="53" spans="2:27" x14ac:dyDescent="0.35">
      <c r="B53" s="44"/>
      <c r="C53" s="44"/>
      <c r="D53" s="44"/>
      <c r="E53" s="44"/>
      <c r="H53" s="47"/>
      <c r="Q53" s="44"/>
      <c r="R53" s="44"/>
      <c r="V53" s="44"/>
      <c r="W53" s="44"/>
      <c r="AA53" s="44"/>
    </row>
    <row r="54" spans="2:27" x14ac:dyDescent="0.35">
      <c r="B54" s="44"/>
      <c r="C54" s="44"/>
      <c r="D54" s="44"/>
      <c r="E54" s="44"/>
      <c r="H54" s="47"/>
      <c r="Q54" s="44"/>
      <c r="R54" s="44"/>
      <c r="V54" s="44"/>
      <c r="W54" s="44"/>
      <c r="AA54" s="44"/>
    </row>
    <row r="55" spans="2:27" x14ac:dyDescent="0.35">
      <c r="B55" s="44"/>
      <c r="C55" s="44"/>
      <c r="D55" s="44"/>
      <c r="E55" s="44"/>
      <c r="H55" s="47"/>
      <c r="Q55" s="44"/>
      <c r="R55" s="44"/>
      <c r="V55" s="44"/>
      <c r="W55" s="44"/>
      <c r="AA55" s="44"/>
    </row>
    <row r="56" spans="2:27" x14ac:dyDescent="0.35">
      <c r="B56" s="44"/>
      <c r="C56" s="44"/>
      <c r="D56" s="44"/>
      <c r="E56" s="44"/>
      <c r="H56" s="47"/>
      <c r="Q56" s="44"/>
      <c r="R56" s="44"/>
      <c r="V56" s="44"/>
      <c r="W56" s="44"/>
      <c r="AA56" s="44"/>
    </row>
    <row r="57" spans="2:27" x14ac:dyDescent="0.35">
      <c r="B57" s="44"/>
      <c r="C57" s="44"/>
      <c r="D57" s="44"/>
      <c r="E57" s="44"/>
      <c r="H57" s="47"/>
      <c r="Q57" s="44"/>
      <c r="R57" s="44"/>
      <c r="V57" s="44"/>
      <c r="W57" s="44"/>
      <c r="AA57" s="44"/>
    </row>
    <row r="58" spans="2:27" x14ac:dyDescent="0.35">
      <c r="B58" s="44"/>
      <c r="C58" s="44"/>
      <c r="D58" s="44"/>
      <c r="E58" s="44"/>
      <c r="H58" s="47"/>
      <c r="Q58" s="44"/>
      <c r="R58" s="44"/>
      <c r="V58" s="44"/>
      <c r="W58" s="44"/>
      <c r="AA58" s="44"/>
    </row>
    <row r="59" spans="2:27" x14ac:dyDescent="0.35">
      <c r="B59" s="44"/>
      <c r="C59" s="44"/>
      <c r="D59" s="44"/>
      <c r="E59" s="44"/>
      <c r="H59" s="47"/>
      <c r="Q59" s="44"/>
      <c r="R59" s="44"/>
      <c r="V59" s="44"/>
      <c r="W59" s="44"/>
      <c r="AA59" s="44"/>
    </row>
    <row r="60" spans="2:27" x14ac:dyDescent="0.35">
      <c r="B60" s="44"/>
      <c r="C60" s="44"/>
      <c r="D60" s="44"/>
      <c r="E60" s="44"/>
      <c r="H60" s="47"/>
      <c r="Q60" s="44"/>
      <c r="R60" s="44"/>
      <c r="V60" s="44"/>
      <c r="W60" s="44"/>
      <c r="AA60" s="44"/>
    </row>
    <row r="61" spans="2:27" x14ac:dyDescent="0.35">
      <c r="B61" s="44"/>
      <c r="C61" s="44"/>
      <c r="D61" s="44"/>
      <c r="E61" s="44"/>
      <c r="H61" s="47"/>
      <c r="Q61" s="44"/>
      <c r="R61" s="44"/>
      <c r="V61" s="44"/>
      <c r="W61" s="44"/>
      <c r="AA61" s="44"/>
    </row>
    <row r="62" spans="2:27" x14ac:dyDescent="0.35">
      <c r="B62" s="44"/>
      <c r="C62" s="44"/>
      <c r="D62" s="44"/>
      <c r="E62" s="44"/>
      <c r="H62" s="47"/>
      <c r="Q62" s="44"/>
      <c r="R62" s="44"/>
      <c r="V62" s="44"/>
      <c r="W62" s="44"/>
      <c r="AA62" s="44"/>
    </row>
    <row r="63" spans="2:27" x14ac:dyDescent="0.35">
      <c r="B63" s="44"/>
      <c r="C63" s="44"/>
      <c r="D63" s="44"/>
      <c r="E63" s="44"/>
      <c r="H63" s="47"/>
      <c r="Q63" s="44"/>
      <c r="R63" s="44"/>
      <c r="V63" s="44"/>
      <c r="W63" s="44"/>
      <c r="AA63" s="44"/>
    </row>
    <row r="64" spans="2:27" x14ac:dyDescent="0.35">
      <c r="B64" s="44"/>
      <c r="C64" s="44"/>
      <c r="D64" s="44"/>
      <c r="E64" s="44"/>
      <c r="H64" s="47"/>
      <c r="Q64" s="44"/>
      <c r="R64" s="44"/>
      <c r="V64" s="44"/>
      <c r="W64" s="44"/>
      <c r="AA64" s="44"/>
    </row>
    <row r="65" spans="2:27" x14ac:dyDescent="0.35">
      <c r="B65" s="44"/>
      <c r="C65" s="44"/>
      <c r="D65" s="44"/>
      <c r="E65" s="44"/>
      <c r="H65" s="47"/>
      <c r="Q65" s="44"/>
      <c r="R65" s="44"/>
      <c r="V65" s="44"/>
      <c r="W65" s="44"/>
      <c r="AA65" s="44"/>
    </row>
    <row r="66" spans="2:27" x14ac:dyDescent="0.35">
      <c r="B66" s="44"/>
      <c r="C66" s="44"/>
      <c r="D66" s="44"/>
      <c r="E66" s="44"/>
      <c r="H66" s="47"/>
      <c r="Q66" s="44"/>
      <c r="R66" s="44"/>
      <c r="V66" s="44"/>
      <c r="W66" s="44"/>
      <c r="AA66" s="44"/>
    </row>
    <row r="67" spans="2:27" x14ac:dyDescent="0.35">
      <c r="B67" s="44"/>
      <c r="C67" s="44"/>
      <c r="D67" s="44"/>
      <c r="E67" s="44"/>
      <c r="H67" s="47"/>
      <c r="Q67" s="44"/>
      <c r="R67" s="44"/>
      <c r="V67" s="44"/>
      <c r="W67" s="44"/>
      <c r="AA67" s="44"/>
    </row>
    <row r="68" spans="2:27" x14ac:dyDescent="0.35">
      <c r="B68" s="44"/>
      <c r="C68" s="44"/>
      <c r="D68" s="44"/>
      <c r="E68" s="44"/>
      <c r="H68" s="47"/>
      <c r="Q68" s="44"/>
      <c r="R68" s="44"/>
      <c r="V68" s="44"/>
      <c r="W68" s="44"/>
      <c r="AA68" s="44"/>
    </row>
    <row r="69" spans="2:27" x14ac:dyDescent="0.35">
      <c r="B69" s="44"/>
      <c r="C69" s="44"/>
      <c r="D69" s="44"/>
      <c r="E69" s="44"/>
      <c r="H69" s="47"/>
      <c r="Q69" s="44"/>
      <c r="R69" s="44"/>
      <c r="V69" s="44"/>
      <c r="W69" s="44"/>
      <c r="AA69" s="44"/>
    </row>
    <row r="70" spans="2:27" x14ac:dyDescent="0.35">
      <c r="B70" s="44"/>
      <c r="C70" s="44"/>
      <c r="D70" s="44"/>
      <c r="E70" s="44"/>
      <c r="H70" s="47"/>
      <c r="Q70" s="44"/>
      <c r="R70" s="44"/>
      <c r="V70" s="44"/>
      <c r="W70" s="44"/>
      <c r="AA70" s="44"/>
    </row>
    <row r="71" spans="2:27" x14ac:dyDescent="0.35">
      <c r="B71" s="44"/>
      <c r="C71" s="44"/>
      <c r="D71" s="44"/>
      <c r="E71" s="44"/>
      <c r="H71" s="47"/>
      <c r="Q71" s="44"/>
      <c r="R71" s="44"/>
      <c r="V71" s="44"/>
      <c r="W71" s="44"/>
      <c r="AA71" s="44"/>
    </row>
    <row r="72" spans="2:27" x14ac:dyDescent="0.35">
      <c r="B72" s="44"/>
      <c r="C72" s="44"/>
      <c r="D72" s="44"/>
      <c r="E72" s="44"/>
      <c r="H72" s="47"/>
      <c r="Q72" s="44"/>
      <c r="R72" s="44"/>
      <c r="V72" s="44"/>
      <c r="W72" s="44"/>
      <c r="AA72" s="44"/>
    </row>
    <row r="73" spans="2:27" x14ac:dyDescent="0.35">
      <c r="B73" s="44"/>
      <c r="C73" s="44"/>
      <c r="D73" s="44"/>
      <c r="E73" s="44"/>
      <c r="H73" s="47"/>
      <c r="Q73" s="44"/>
      <c r="R73" s="44"/>
      <c r="V73" s="44"/>
      <c r="W73" s="44"/>
      <c r="AA73" s="44"/>
    </row>
    <row r="74" spans="2:27" x14ac:dyDescent="0.35">
      <c r="B74" s="44"/>
      <c r="C74" s="44"/>
      <c r="D74" s="44"/>
      <c r="E74" s="44"/>
      <c r="H74" s="47"/>
      <c r="Q74" s="44"/>
      <c r="R74" s="44"/>
      <c r="V74" s="44"/>
      <c r="W74" s="44"/>
      <c r="AA74" s="44"/>
    </row>
    <row r="75" spans="2:27" x14ac:dyDescent="0.35">
      <c r="B75" s="44"/>
      <c r="C75" s="44"/>
      <c r="D75" s="44"/>
      <c r="E75" s="44"/>
      <c r="H75" s="47"/>
      <c r="Q75" s="44"/>
      <c r="R75" s="44"/>
      <c r="V75" s="44"/>
      <c r="W75" s="44"/>
      <c r="AA75" s="44"/>
    </row>
    <row r="76" spans="2:27" x14ac:dyDescent="0.35">
      <c r="B76" s="44"/>
      <c r="C76" s="44"/>
      <c r="D76" s="44"/>
      <c r="E76" s="44"/>
      <c r="H76" s="47"/>
      <c r="Q76" s="44"/>
      <c r="R76" s="44"/>
      <c r="V76" s="44"/>
      <c r="W76" s="44"/>
      <c r="AA76" s="44"/>
    </row>
    <row r="77" spans="2:27" x14ac:dyDescent="0.35">
      <c r="B77" s="44"/>
      <c r="C77" s="44"/>
      <c r="D77" s="44"/>
      <c r="E77" s="44"/>
      <c r="H77" s="47"/>
      <c r="Q77" s="44"/>
      <c r="R77" s="44"/>
      <c r="V77" s="44"/>
      <c r="W77" s="44"/>
      <c r="AA77" s="44"/>
    </row>
    <row r="78" spans="2:27" x14ac:dyDescent="0.35">
      <c r="B78" s="44"/>
      <c r="C78" s="44"/>
      <c r="D78" s="44"/>
      <c r="E78" s="44"/>
      <c r="H78" s="47"/>
      <c r="Q78" s="44"/>
      <c r="R78" s="44"/>
      <c r="V78" s="44"/>
      <c r="W78" s="44"/>
      <c r="AA78" s="44"/>
    </row>
    <row r="79" spans="2:27" x14ac:dyDescent="0.35">
      <c r="B79" s="44"/>
      <c r="C79" s="44"/>
      <c r="D79" s="44"/>
      <c r="E79" s="44"/>
      <c r="H79" s="47"/>
      <c r="Q79" s="44"/>
      <c r="R79" s="44"/>
      <c r="V79" s="44"/>
      <c r="W79" s="44"/>
      <c r="AA79" s="44"/>
    </row>
    <row r="80" spans="2:27" x14ac:dyDescent="0.35">
      <c r="B80" s="44"/>
      <c r="C80" s="44"/>
      <c r="D80" s="44"/>
      <c r="E80" s="44"/>
      <c r="H80" s="47"/>
      <c r="Q80" s="44"/>
      <c r="R80" s="44"/>
      <c r="V80" s="44"/>
      <c r="W80" s="44"/>
      <c r="AA80" s="44"/>
    </row>
    <row r="81" spans="2:27" x14ac:dyDescent="0.35">
      <c r="B81" s="44"/>
      <c r="C81" s="44"/>
      <c r="D81" s="44"/>
      <c r="E81" s="44"/>
      <c r="H81" s="47"/>
      <c r="Q81" s="44"/>
      <c r="R81" s="44"/>
      <c r="V81" s="44"/>
      <c r="W81" s="44"/>
      <c r="AA81" s="44"/>
    </row>
    <row r="82" spans="2:27" x14ac:dyDescent="0.35">
      <c r="B82" s="44"/>
      <c r="C82" s="44"/>
      <c r="D82" s="44"/>
      <c r="E82" s="44"/>
      <c r="H82" s="47"/>
      <c r="Q82" s="44"/>
      <c r="R82" s="44"/>
      <c r="V82" s="44"/>
      <c r="W82" s="44"/>
      <c r="AA82" s="44"/>
    </row>
    <row r="83" spans="2:27" x14ac:dyDescent="0.35">
      <c r="B83" s="44"/>
      <c r="C83" s="44"/>
      <c r="D83" s="44"/>
      <c r="E83" s="44"/>
      <c r="H83" s="47"/>
      <c r="Q83" s="44"/>
      <c r="R83" s="44"/>
      <c r="V83" s="44"/>
      <c r="W83" s="44"/>
      <c r="AA83" s="44"/>
    </row>
    <row r="84" spans="2:27" x14ac:dyDescent="0.35">
      <c r="B84" s="44"/>
      <c r="C84" s="44"/>
      <c r="D84" s="44"/>
      <c r="E84" s="44"/>
      <c r="H84" s="47"/>
      <c r="Q84" s="44"/>
      <c r="R84" s="44"/>
      <c r="V84" s="44"/>
      <c r="W84" s="44"/>
      <c r="AA84" s="44"/>
    </row>
    <row r="85" spans="2:27" x14ac:dyDescent="0.35">
      <c r="B85" s="44"/>
      <c r="C85" s="44"/>
      <c r="D85" s="44"/>
      <c r="E85" s="44"/>
      <c r="H85" s="47"/>
      <c r="Q85" s="44"/>
      <c r="R85" s="44"/>
      <c r="V85" s="44"/>
      <c r="W85" s="44"/>
      <c r="AA85" s="44"/>
    </row>
    <row r="86" spans="2:27" x14ac:dyDescent="0.35">
      <c r="B86" s="44"/>
      <c r="C86" s="44"/>
      <c r="D86" s="44"/>
      <c r="E86" s="44"/>
      <c r="H86" s="47"/>
      <c r="Q86" s="44"/>
      <c r="R86" s="44"/>
      <c r="V86" s="44"/>
      <c r="W86" s="44"/>
      <c r="AA86" s="44"/>
    </row>
    <row r="87" spans="2:27" x14ac:dyDescent="0.35">
      <c r="B87" s="44"/>
      <c r="C87" s="44"/>
      <c r="D87" s="44"/>
      <c r="E87" s="44"/>
      <c r="H87" s="47"/>
      <c r="Q87" s="44"/>
      <c r="R87" s="44"/>
      <c r="V87" s="44"/>
      <c r="W87" s="44"/>
      <c r="AA87" s="44"/>
    </row>
    <row r="88" spans="2:27" x14ac:dyDescent="0.35">
      <c r="B88" s="44"/>
      <c r="C88" s="44"/>
      <c r="D88" s="44"/>
      <c r="E88" s="44"/>
      <c r="H88" s="47"/>
      <c r="Q88" s="44"/>
      <c r="R88" s="44"/>
      <c r="V88" s="44"/>
      <c r="W88" s="44"/>
      <c r="AA88" s="44"/>
    </row>
    <row r="89" spans="2:27" x14ac:dyDescent="0.35">
      <c r="B89" s="44"/>
      <c r="C89" s="44"/>
      <c r="D89" s="44"/>
      <c r="E89" s="44"/>
      <c r="H89" s="47"/>
      <c r="Q89" s="44"/>
      <c r="R89" s="44"/>
      <c r="V89" s="44"/>
      <c r="W89" s="44"/>
      <c r="AA89" s="44"/>
    </row>
    <row r="90" spans="2:27" x14ac:dyDescent="0.35">
      <c r="B90" s="44"/>
      <c r="C90" s="44"/>
      <c r="D90" s="44"/>
      <c r="E90" s="44"/>
      <c r="H90" s="47"/>
      <c r="Q90" s="44"/>
      <c r="R90" s="44"/>
      <c r="V90" s="44"/>
      <c r="W90" s="44"/>
      <c r="AA90" s="44"/>
    </row>
    <row r="91" spans="2:27" x14ac:dyDescent="0.35">
      <c r="B91" s="44"/>
      <c r="C91" s="44"/>
      <c r="D91" s="44"/>
      <c r="E91" s="44"/>
      <c r="H91" s="47"/>
      <c r="Q91" s="44"/>
      <c r="R91" s="44"/>
      <c r="V91" s="44"/>
      <c r="W91" s="44"/>
      <c r="AA91" s="44"/>
    </row>
    <row r="92" spans="2:27" x14ac:dyDescent="0.35">
      <c r="B92" s="44"/>
      <c r="C92" s="44"/>
      <c r="D92" s="44"/>
      <c r="E92" s="44"/>
      <c r="H92" s="47"/>
      <c r="Q92" s="44"/>
      <c r="R92" s="44"/>
      <c r="V92" s="44"/>
      <c r="W92" s="44"/>
      <c r="AA92" s="44"/>
    </row>
    <row r="93" spans="2:27" x14ac:dyDescent="0.35">
      <c r="B93" s="44"/>
      <c r="C93" s="44"/>
      <c r="D93" s="44"/>
      <c r="E93" s="44"/>
      <c r="H93" s="47"/>
      <c r="Q93" s="44"/>
      <c r="R93" s="44"/>
      <c r="V93" s="44"/>
      <c r="W93" s="44"/>
      <c r="AA93" s="44"/>
    </row>
    <row r="94" spans="2:27" x14ac:dyDescent="0.35">
      <c r="B94" s="44"/>
      <c r="C94" s="44"/>
      <c r="D94" s="44"/>
      <c r="E94" s="44"/>
      <c r="H94" s="47"/>
      <c r="Q94" s="44"/>
      <c r="R94" s="44"/>
      <c r="V94" s="44"/>
      <c r="W94" s="44"/>
      <c r="AA94" s="44"/>
    </row>
    <row r="95" spans="2:27" x14ac:dyDescent="0.35">
      <c r="B95" s="44"/>
      <c r="C95" s="44"/>
      <c r="D95" s="44"/>
      <c r="E95" s="44"/>
      <c r="H95" s="47"/>
      <c r="Q95" s="44"/>
      <c r="R95" s="44"/>
      <c r="V95" s="44"/>
      <c r="W95" s="44"/>
      <c r="AA95" s="44"/>
    </row>
    <row r="96" spans="2:27" x14ac:dyDescent="0.35">
      <c r="B96" s="44"/>
      <c r="C96" s="44"/>
      <c r="D96" s="44"/>
      <c r="E96" s="44"/>
      <c r="H96" s="47"/>
      <c r="Q96" s="44"/>
      <c r="R96" s="44"/>
      <c r="V96" s="44"/>
      <c r="W96" s="44"/>
      <c r="AA96" s="44"/>
    </row>
    <row r="97" spans="2:27" x14ac:dyDescent="0.35">
      <c r="B97" s="44"/>
      <c r="C97" s="44"/>
      <c r="D97" s="44"/>
      <c r="E97" s="44"/>
      <c r="H97" s="47"/>
      <c r="Q97" s="44"/>
      <c r="R97" s="44"/>
      <c r="V97" s="44"/>
      <c r="W97" s="44"/>
      <c r="AA97" s="44"/>
    </row>
    <row r="98" spans="2:27" x14ac:dyDescent="0.35">
      <c r="B98" s="44"/>
      <c r="C98" s="44"/>
      <c r="D98" s="44"/>
      <c r="E98" s="44"/>
      <c r="H98" s="47"/>
      <c r="Q98" s="44"/>
      <c r="R98" s="44"/>
      <c r="V98" s="44"/>
      <c r="W98" s="44"/>
      <c r="AA98" s="44"/>
    </row>
    <row r="99" spans="2:27" x14ac:dyDescent="0.35">
      <c r="B99" s="44"/>
      <c r="C99" s="44"/>
      <c r="D99" s="44"/>
      <c r="E99" s="44"/>
      <c r="H99" s="47"/>
      <c r="Q99" s="44"/>
      <c r="R99" s="44"/>
      <c r="V99" s="44"/>
      <c r="W99" s="44"/>
      <c r="AA99" s="44"/>
    </row>
    <row r="100" spans="2:27" x14ac:dyDescent="0.35">
      <c r="B100" s="44"/>
      <c r="C100" s="44"/>
      <c r="D100" s="44"/>
      <c r="E100" s="44"/>
      <c r="H100" s="47"/>
      <c r="Q100" s="44"/>
      <c r="R100" s="44"/>
      <c r="V100" s="44"/>
      <c r="W100" s="44"/>
      <c r="AA100" s="44"/>
    </row>
    <row r="101" spans="2:27" x14ac:dyDescent="0.35">
      <c r="B101" s="44"/>
      <c r="C101" s="44"/>
      <c r="D101" s="44"/>
      <c r="E101" s="44"/>
      <c r="H101" s="47"/>
      <c r="Q101" s="44"/>
      <c r="R101" s="44"/>
      <c r="V101" s="44"/>
      <c r="W101" s="44"/>
      <c r="AA101" s="44"/>
    </row>
    <row r="102" spans="2:27" x14ac:dyDescent="0.35">
      <c r="B102" s="44"/>
      <c r="C102" s="44"/>
      <c r="D102" s="44"/>
      <c r="E102" s="44"/>
      <c r="H102" s="47"/>
      <c r="Q102" s="44"/>
      <c r="R102" s="44"/>
      <c r="V102" s="44"/>
      <c r="W102" s="44"/>
      <c r="AA102" s="44"/>
    </row>
    <row r="103" spans="2:27" x14ac:dyDescent="0.35">
      <c r="B103" s="44"/>
      <c r="C103" s="44"/>
      <c r="D103" s="44"/>
      <c r="E103" s="44"/>
      <c r="H103" s="47"/>
      <c r="Q103" s="44"/>
      <c r="R103" s="44"/>
      <c r="V103" s="44"/>
      <c r="W103" s="44"/>
      <c r="AA103" s="44"/>
    </row>
    <row r="104" spans="2:27" x14ac:dyDescent="0.35">
      <c r="B104" s="44"/>
      <c r="C104" s="44"/>
      <c r="D104" s="44"/>
      <c r="E104" s="44"/>
      <c r="H104" s="47"/>
      <c r="Q104" s="44"/>
      <c r="R104" s="44"/>
      <c r="V104" s="44"/>
      <c r="W104" s="44"/>
      <c r="AA104" s="44"/>
    </row>
    <row r="105" spans="2:27" x14ac:dyDescent="0.35">
      <c r="B105" s="44"/>
      <c r="C105" s="44"/>
      <c r="D105" s="44"/>
      <c r="E105" s="44"/>
      <c r="H105" s="47"/>
      <c r="Q105" s="44"/>
      <c r="R105" s="44"/>
      <c r="V105" s="44"/>
      <c r="W105" s="44"/>
      <c r="AA105" s="44"/>
    </row>
    <row r="106" spans="2:27" x14ac:dyDescent="0.35">
      <c r="B106" s="44"/>
      <c r="C106" s="44"/>
      <c r="D106" s="44"/>
      <c r="E106" s="44"/>
      <c r="H106" s="47"/>
      <c r="Q106" s="44"/>
      <c r="R106" s="44"/>
      <c r="V106" s="44"/>
      <c r="W106" s="44"/>
      <c r="AA106" s="44"/>
    </row>
    <row r="107" spans="2:27" x14ac:dyDescent="0.35">
      <c r="B107" s="44"/>
      <c r="C107" s="44"/>
      <c r="D107" s="44"/>
      <c r="E107" s="44"/>
      <c r="H107" s="47"/>
      <c r="Q107" s="44"/>
      <c r="R107" s="44"/>
      <c r="V107" s="44"/>
      <c r="W107" s="44"/>
      <c r="AA107" s="44"/>
    </row>
    <row r="108" spans="2:27" x14ac:dyDescent="0.35">
      <c r="B108" s="44"/>
      <c r="C108" s="44"/>
      <c r="D108" s="44"/>
      <c r="E108" s="44"/>
      <c r="H108" s="47"/>
      <c r="Q108" s="44"/>
      <c r="R108" s="44"/>
      <c r="V108" s="44"/>
      <c r="W108" s="44"/>
      <c r="AA108" s="44"/>
    </row>
    <row r="109" spans="2:27" x14ac:dyDescent="0.35">
      <c r="B109" s="44"/>
      <c r="C109" s="44"/>
      <c r="D109" s="44"/>
      <c r="E109" s="44"/>
      <c r="H109" s="47"/>
      <c r="Q109" s="44"/>
      <c r="R109" s="44"/>
      <c r="V109" s="44"/>
      <c r="W109" s="44"/>
      <c r="AA109" s="44"/>
    </row>
    <row r="110" spans="2:27" x14ac:dyDescent="0.35">
      <c r="B110" s="44"/>
      <c r="C110" s="44"/>
      <c r="D110" s="44"/>
      <c r="E110" s="44"/>
      <c r="H110" s="47"/>
      <c r="Q110" s="44"/>
      <c r="R110" s="44"/>
      <c r="V110" s="44"/>
      <c r="W110" s="44"/>
      <c r="AA110" s="44"/>
    </row>
    <row r="111" spans="2:27" x14ac:dyDescent="0.35">
      <c r="B111" s="44"/>
      <c r="C111" s="44"/>
      <c r="D111" s="44"/>
      <c r="E111" s="44"/>
      <c r="H111" s="47"/>
      <c r="Q111" s="44"/>
      <c r="R111" s="44"/>
      <c r="V111" s="44"/>
      <c r="W111" s="44"/>
      <c r="AA111" s="44"/>
    </row>
    <row r="112" spans="2:27" x14ac:dyDescent="0.35">
      <c r="B112" s="44"/>
      <c r="C112" s="44"/>
      <c r="D112" s="44"/>
      <c r="E112" s="44"/>
      <c r="H112" s="47"/>
      <c r="Q112" s="44"/>
      <c r="R112" s="44"/>
      <c r="V112" s="44"/>
      <c r="W112" s="44"/>
      <c r="AA112" s="44"/>
    </row>
    <row r="113" spans="2:27" x14ac:dyDescent="0.35">
      <c r="B113" s="44"/>
      <c r="C113" s="44"/>
      <c r="D113" s="44"/>
      <c r="E113" s="44"/>
      <c r="H113" s="47"/>
      <c r="Q113" s="44"/>
      <c r="R113" s="44"/>
      <c r="V113" s="44"/>
      <c r="W113" s="44"/>
      <c r="AA113" s="44"/>
    </row>
    <row r="114" spans="2:27" x14ac:dyDescent="0.35">
      <c r="B114" s="44"/>
      <c r="C114" s="44"/>
      <c r="D114" s="44"/>
      <c r="E114" s="44"/>
      <c r="H114" s="47"/>
      <c r="Q114" s="44"/>
      <c r="R114" s="44"/>
      <c r="V114" s="44"/>
      <c r="W114" s="44"/>
      <c r="AA114" s="44"/>
    </row>
    <row r="115" spans="2:27" x14ac:dyDescent="0.35">
      <c r="B115" s="44"/>
      <c r="C115" s="44"/>
      <c r="D115" s="44"/>
      <c r="E115" s="44"/>
      <c r="H115" s="47"/>
      <c r="Q115" s="44"/>
      <c r="R115" s="44"/>
      <c r="V115" s="44"/>
      <c r="W115" s="44"/>
      <c r="AA115" s="44"/>
    </row>
    <row r="116" spans="2:27" x14ac:dyDescent="0.35">
      <c r="B116" s="44"/>
      <c r="C116" s="44"/>
      <c r="D116" s="44"/>
      <c r="E116" s="44"/>
      <c r="H116" s="47"/>
      <c r="Q116" s="44"/>
      <c r="R116" s="44"/>
      <c r="V116" s="44"/>
      <c r="W116" s="44"/>
      <c r="AA116" s="44"/>
    </row>
    <row r="117" spans="2:27" x14ac:dyDescent="0.35">
      <c r="B117" s="44"/>
      <c r="C117" s="44"/>
      <c r="D117" s="44"/>
      <c r="E117" s="44"/>
      <c r="H117" s="47"/>
      <c r="Q117" s="44"/>
      <c r="R117" s="44"/>
      <c r="V117" s="44"/>
      <c r="W117" s="44"/>
      <c r="AA117" s="44"/>
    </row>
    <row r="118" spans="2:27" x14ac:dyDescent="0.35">
      <c r="B118" s="44"/>
      <c r="C118" s="44"/>
      <c r="D118" s="44"/>
      <c r="E118" s="44"/>
      <c r="H118" s="47"/>
      <c r="Q118" s="44"/>
      <c r="R118" s="44"/>
      <c r="V118" s="44"/>
      <c r="W118" s="44"/>
      <c r="AA118" s="44"/>
    </row>
    <row r="119" spans="2:27" x14ac:dyDescent="0.35">
      <c r="B119" s="44"/>
      <c r="C119" s="44"/>
      <c r="D119" s="44"/>
      <c r="E119" s="44"/>
      <c r="H119" s="47"/>
      <c r="Q119" s="44"/>
      <c r="R119" s="44"/>
      <c r="V119" s="44"/>
      <c r="W119" s="44"/>
      <c r="AA119" s="44"/>
    </row>
    <row r="120" spans="2:27" x14ac:dyDescent="0.35">
      <c r="B120" s="44"/>
      <c r="C120" s="44"/>
      <c r="D120" s="44"/>
      <c r="E120" s="44"/>
      <c r="H120" s="47"/>
      <c r="Q120" s="44"/>
      <c r="R120" s="44"/>
      <c r="V120" s="44"/>
      <c r="W120" s="44"/>
      <c r="AA120" s="44"/>
    </row>
    <row r="121" spans="2:27" x14ac:dyDescent="0.35">
      <c r="B121" s="44"/>
      <c r="C121" s="44"/>
      <c r="D121" s="44"/>
      <c r="E121" s="44"/>
      <c r="H121" s="47"/>
      <c r="Q121" s="44"/>
      <c r="R121" s="44"/>
      <c r="V121" s="44"/>
      <c r="W121" s="44"/>
      <c r="AA121" s="44"/>
    </row>
    <row r="122" spans="2:27" x14ac:dyDescent="0.35">
      <c r="B122" s="44"/>
      <c r="C122" s="44"/>
      <c r="D122" s="44"/>
      <c r="E122" s="44"/>
      <c r="H122" s="47"/>
      <c r="Q122" s="44"/>
      <c r="R122" s="44"/>
      <c r="V122" s="44"/>
      <c r="W122" s="44"/>
      <c r="AA122" s="44"/>
    </row>
    <row r="123" spans="2:27" x14ac:dyDescent="0.35">
      <c r="B123" s="44"/>
      <c r="C123" s="44"/>
      <c r="D123" s="44"/>
      <c r="E123" s="44"/>
      <c r="H123" s="47"/>
      <c r="Q123" s="44"/>
      <c r="R123" s="44"/>
      <c r="V123" s="44"/>
      <c r="W123" s="44"/>
      <c r="AA123" s="44"/>
    </row>
    <row r="124" spans="2:27" x14ac:dyDescent="0.35">
      <c r="B124" s="44"/>
      <c r="C124" s="44"/>
      <c r="D124" s="44"/>
      <c r="E124" s="44"/>
      <c r="H124" s="47"/>
      <c r="Q124" s="44"/>
      <c r="R124" s="44"/>
      <c r="V124" s="44"/>
      <c r="W124" s="44"/>
      <c r="AA124" s="44"/>
    </row>
    <row r="125" spans="2:27" x14ac:dyDescent="0.35">
      <c r="B125" s="44"/>
      <c r="C125" s="44"/>
      <c r="D125" s="44"/>
      <c r="E125" s="44"/>
      <c r="H125" s="47"/>
      <c r="Q125" s="44"/>
      <c r="R125" s="44"/>
      <c r="V125" s="44"/>
      <c r="W125" s="44"/>
      <c r="AA125" s="44"/>
    </row>
    <row r="126" spans="2:27" x14ac:dyDescent="0.35">
      <c r="B126" s="44"/>
      <c r="C126" s="44"/>
      <c r="D126" s="44"/>
      <c r="E126" s="44"/>
      <c r="H126" s="47"/>
      <c r="Q126" s="44"/>
      <c r="R126" s="44"/>
      <c r="V126" s="44"/>
      <c r="W126" s="44"/>
      <c r="AA126" s="44"/>
    </row>
    <row r="127" spans="2:27" x14ac:dyDescent="0.35">
      <c r="B127" s="44"/>
      <c r="C127" s="44"/>
      <c r="D127" s="44"/>
      <c r="E127" s="44"/>
      <c r="H127" s="47"/>
      <c r="Q127" s="44"/>
      <c r="R127" s="44"/>
      <c r="V127" s="44"/>
      <c r="W127" s="44"/>
      <c r="AA127" s="44"/>
    </row>
    <row r="128" spans="2:27" x14ac:dyDescent="0.35">
      <c r="B128" s="44"/>
      <c r="C128" s="44"/>
      <c r="D128" s="44"/>
      <c r="E128" s="44"/>
      <c r="H128" s="47"/>
      <c r="Q128" s="44"/>
      <c r="R128" s="44"/>
      <c r="V128" s="44"/>
      <c r="W128" s="44"/>
      <c r="AA128" s="44"/>
    </row>
    <row r="129" spans="2:27" x14ac:dyDescent="0.35">
      <c r="B129" s="44"/>
      <c r="C129" s="44"/>
      <c r="D129" s="44"/>
      <c r="E129" s="44"/>
      <c r="H129" s="47"/>
      <c r="Q129" s="44"/>
      <c r="R129" s="44"/>
      <c r="V129" s="44"/>
      <c r="W129" s="44"/>
      <c r="AA129" s="44"/>
    </row>
    <row r="130" spans="2:27" x14ac:dyDescent="0.35">
      <c r="B130" s="44"/>
      <c r="C130" s="44"/>
      <c r="D130" s="44"/>
      <c r="E130" s="44"/>
      <c r="H130" s="47"/>
      <c r="Q130" s="44"/>
      <c r="R130" s="44"/>
      <c r="V130" s="44"/>
      <c r="W130" s="44"/>
      <c r="AA130" s="44"/>
    </row>
    <row r="131" spans="2:27" x14ac:dyDescent="0.35">
      <c r="B131" s="44"/>
      <c r="C131" s="44"/>
      <c r="D131" s="44"/>
      <c r="E131" s="44"/>
      <c r="H131" s="47"/>
      <c r="Q131" s="44"/>
      <c r="R131" s="44"/>
      <c r="V131" s="44"/>
      <c r="W131" s="44"/>
      <c r="AA131" s="44"/>
    </row>
    <row r="132" spans="2:27" x14ac:dyDescent="0.35">
      <c r="B132" s="44"/>
      <c r="C132" s="44"/>
      <c r="D132" s="44"/>
      <c r="E132" s="44"/>
      <c r="H132" s="47"/>
      <c r="Q132" s="44"/>
      <c r="R132" s="44"/>
      <c r="V132" s="44"/>
      <c r="W132" s="44"/>
      <c r="AA132" s="44"/>
    </row>
    <row r="133" spans="2:27" x14ac:dyDescent="0.35">
      <c r="B133" s="44"/>
      <c r="C133" s="44"/>
      <c r="D133" s="44"/>
      <c r="E133" s="44"/>
      <c r="H133" s="47"/>
      <c r="Q133" s="44"/>
      <c r="R133" s="44"/>
      <c r="V133" s="44"/>
      <c r="W133" s="44"/>
      <c r="AA133" s="44"/>
    </row>
    <row r="134" spans="2:27" x14ac:dyDescent="0.35">
      <c r="B134" s="44"/>
      <c r="C134" s="44"/>
      <c r="D134" s="44"/>
      <c r="E134" s="44"/>
      <c r="H134" s="47"/>
      <c r="Q134" s="44"/>
      <c r="R134" s="44"/>
      <c r="V134" s="44"/>
      <c r="W134" s="44"/>
      <c r="AA134" s="44"/>
    </row>
    <row r="135" spans="2:27" x14ac:dyDescent="0.35">
      <c r="B135" s="44"/>
      <c r="C135" s="44"/>
      <c r="D135" s="44"/>
      <c r="E135" s="44"/>
      <c r="H135" s="47"/>
      <c r="Q135" s="44"/>
      <c r="R135" s="44"/>
      <c r="V135" s="44"/>
      <c r="W135" s="44"/>
      <c r="AA135" s="44"/>
    </row>
    <row r="136" spans="2:27" x14ac:dyDescent="0.35">
      <c r="B136" s="44"/>
      <c r="C136" s="44"/>
      <c r="D136" s="44"/>
      <c r="E136" s="44"/>
      <c r="H136" s="47"/>
      <c r="Q136" s="44"/>
      <c r="R136" s="44"/>
      <c r="V136" s="44"/>
      <c r="W136" s="44"/>
      <c r="AA136" s="44"/>
    </row>
    <row r="137" spans="2:27" x14ac:dyDescent="0.35">
      <c r="B137" s="44"/>
      <c r="C137" s="44"/>
      <c r="D137" s="44"/>
      <c r="E137" s="44"/>
      <c r="H137" s="47"/>
      <c r="Q137" s="44"/>
      <c r="R137" s="44"/>
      <c r="V137" s="44"/>
      <c r="W137" s="44"/>
      <c r="AA137" s="44"/>
    </row>
    <row r="138" spans="2:27" x14ac:dyDescent="0.35">
      <c r="B138" s="44"/>
      <c r="C138" s="44"/>
      <c r="D138" s="44"/>
      <c r="E138" s="44"/>
      <c r="H138" s="47"/>
      <c r="Q138" s="44"/>
      <c r="R138" s="44"/>
      <c r="V138" s="44"/>
      <c r="W138" s="44"/>
      <c r="AA138" s="44"/>
    </row>
    <row r="139" spans="2:27" x14ac:dyDescent="0.35">
      <c r="B139" s="44"/>
      <c r="C139" s="44"/>
      <c r="D139" s="44"/>
      <c r="E139" s="44"/>
      <c r="H139" s="47"/>
      <c r="Q139" s="44"/>
      <c r="R139" s="44"/>
      <c r="V139" s="44"/>
      <c r="W139" s="44"/>
      <c r="AA139" s="44"/>
    </row>
    <row r="140" spans="2:27" x14ac:dyDescent="0.35">
      <c r="B140" s="44"/>
      <c r="C140" s="44"/>
      <c r="D140" s="44"/>
      <c r="E140" s="44"/>
      <c r="H140" s="47"/>
      <c r="Q140" s="44"/>
      <c r="R140" s="44"/>
      <c r="V140" s="44"/>
      <c r="W140" s="44"/>
      <c r="AA140" s="44"/>
    </row>
    <row r="141" spans="2:27" x14ac:dyDescent="0.35">
      <c r="B141" s="44"/>
      <c r="C141" s="44"/>
      <c r="D141" s="44"/>
      <c r="E141" s="44"/>
      <c r="H141" s="47"/>
      <c r="Q141" s="44"/>
      <c r="R141" s="44"/>
      <c r="V141" s="44"/>
      <c r="W141" s="44"/>
      <c r="AA141" s="44"/>
    </row>
    <row r="142" spans="2:27" x14ac:dyDescent="0.35">
      <c r="B142" s="44"/>
      <c r="C142" s="44"/>
      <c r="D142" s="44"/>
      <c r="E142" s="44"/>
      <c r="H142" s="47"/>
      <c r="Q142" s="44"/>
      <c r="R142" s="44"/>
      <c r="V142" s="44"/>
      <c r="W142" s="44"/>
      <c r="AA142" s="44"/>
    </row>
    <row r="143" spans="2:27" x14ac:dyDescent="0.35">
      <c r="B143" s="44"/>
      <c r="C143" s="44"/>
      <c r="D143" s="44"/>
      <c r="E143" s="44"/>
      <c r="H143" s="47"/>
      <c r="Q143" s="44"/>
      <c r="R143" s="44"/>
      <c r="V143" s="44"/>
      <c r="W143" s="44"/>
      <c r="AA143" s="44"/>
    </row>
    <row r="144" spans="2:27" x14ac:dyDescent="0.35">
      <c r="B144" s="44"/>
      <c r="C144" s="44"/>
      <c r="D144" s="44"/>
      <c r="E144" s="44"/>
      <c r="H144" s="47"/>
      <c r="Q144" s="44"/>
      <c r="R144" s="44"/>
      <c r="V144" s="44"/>
      <c r="W144" s="44"/>
      <c r="AA144" s="44"/>
    </row>
    <row r="145" spans="2:27" x14ac:dyDescent="0.35">
      <c r="B145" s="44"/>
      <c r="C145" s="44"/>
      <c r="D145" s="44"/>
      <c r="E145" s="44"/>
      <c r="H145" s="47"/>
      <c r="Q145" s="44"/>
      <c r="R145" s="44"/>
      <c r="V145" s="44"/>
      <c r="W145" s="44"/>
      <c r="AA145" s="44"/>
    </row>
    <row r="146" spans="2:27" x14ac:dyDescent="0.35">
      <c r="B146" s="44"/>
      <c r="C146" s="44"/>
      <c r="D146" s="44"/>
      <c r="E146" s="44"/>
      <c r="H146" s="47"/>
      <c r="Q146" s="44"/>
      <c r="R146" s="44"/>
      <c r="V146" s="44"/>
      <c r="W146" s="44"/>
      <c r="AA146" s="44"/>
    </row>
    <row r="147" spans="2:27" x14ac:dyDescent="0.35">
      <c r="B147" s="44"/>
      <c r="C147" s="44"/>
      <c r="D147" s="44"/>
      <c r="E147" s="44"/>
      <c r="H147" s="47"/>
      <c r="Q147" s="44"/>
      <c r="R147" s="44"/>
      <c r="V147" s="44"/>
      <c r="W147" s="44"/>
      <c r="AA147" s="44"/>
    </row>
    <row r="148" spans="2:27" x14ac:dyDescent="0.35">
      <c r="B148" s="44"/>
      <c r="C148" s="44"/>
      <c r="D148" s="44"/>
      <c r="E148" s="44"/>
      <c r="H148" s="47"/>
      <c r="Q148" s="44"/>
      <c r="R148" s="44"/>
      <c r="V148" s="44"/>
      <c r="W148" s="44"/>
      <c r="AA148" s="44"/>
    </row>
    <row r="149" spans="2:27" x14ac:dyDescent="0.35">
      <c r="B149" s="44"/>
      <c r="C149" s="44"/>
      <c r="D149" s="44"/>
      <c r="E149" s="44"/>
      <c r="H149" s="47"/>
      <c r="Q149" s="44"/>
      <c r="R149" s="44"/>
      <c r="V149" s="44"/>
      <c r="W149" s="44"/>
      <c r="AA149" s="44"/>
    </row>
    <row r="150" spans="2:27" x14ac:dyDescent="0.35">
      <c r="B150" s="44"/>
      <c r="C150" s="44"/>
      <c r="D150" s="44"/>
      <c r="E150" s="44"/>
      <c r="H150" s="47"/>
      <c r="Q150" s="44"/>
      <c r="R150" s="44"/>
      <c r="V150" s="44"/>
      <c r="W150" s="44"/>
      <c r="AA150" s="44"/>
    </row>
    <row r="151" spans="2:27" x14ac:dyDescent="0.35">
      <c r="B151" s="44"/>
      <c r="C151" s="44"/>
      <c r="D151" s="44"/>
      <c r="E151" s="44"/>
      <c r="H151" s="47"/>
      <c r="Q151" s="44"/>
      <c r="R151" s="44"/>
      <c r="V151" s="44"/>
      <c r="W151" s="44"/>
      <c r="AA151" s="44"/>
    </row>
    <row r="152" spans="2:27" x14ac:dyDescent="0.35">
      <c r="B152" s="44"/>
      <c r="C152" s="44"/>
      <c r="D152" s="44"/>
      <c r="E152" s="44"/>
      <c r="H152" s="47"/>
      <c r="Q152" s="44"/>
      <c r="R152" s="44"/>
      <c r="V152" s="44"/>
      <c r="W152" s="44"/>
      <c r="AA152" s="44"/>
    </row>
    <row r="153" spans="2:27" x14ac:dyDescent="0.35">
      <c r="B153" s="44"/>
      <c r="C153" s="44"/>
      <c r="D153" s="44"/>
      <c r="E153" s="44"/>
      <c r="H153" s="47"/>
      <c r="Q153" s="44"/>
      <c r="R153" s="44"/>
      <c r="V153" s="44"/>
      <c r="W153" s="44"/>
      <c r="AA153" s="44"/>
    </row>
    <row r="154" spans="2:27" x14ac:dyDescent="0.35">
      <c r="B154" s="44"/>
      <c r="C154" s="44"/>
      <c r="D154" s="44"/>
      <c r="E154" s="44"/>
      <c r="H154" s="47"/>
      <c r="Q154" s="44"/>
      <c r="R154" s="44"/>
      <c r="V154" s="44"/>
      <c r="W154" s="44"/>
      <c r="AA154" s="44"/>
    </row>
    <row r="155" spans="2:27" x14ac:dyDescent="0.35">
      <c r="B155" s="44"/>
      <c r="C155" s="44"/>
      <c r="D155" s="44"/>
      <c r="E155" s="44"/>
      <c r="H155" s="47"/>
      <c r="Q155" s="44"/>
      <c r="R155" s="44"/>
      <c r="V155" s="44"/>
      <c r="W155" s="44"/>
      <c r="AA155" s="44"/>
    </row>
    <row r="156" spans="2:27" x14ac:dyDescent="0.35">
      <c r="B156" s="44"/>
      <c r="C156" s="44"/>
      <c r="D156" s="44"/>
      <c r="E156" s="44"/>
      <c r="H156" s="47"/>
      <c r="Q156" s="44"/>
      <c r="R156" s="44"/>
      <c r="V156" s="44"/>
      <c r="W156" s="44"/>
      <c r="AA156" s="44"/>
    </row>
    <row r="157" spans="2:27" x14ac:dyDescent="0.35">
      <c r="B157" s="44"/>
      <c r="C157" s="44"/>
      <c r="D157" s="44"/>
      <c r="E157" s="44"/>
      <c r="H157" s="47"/>
      <c r="Q157" s="44"/>
      <c r="R157" s="44"/>
      <c r="V157" s="44"/>
      <c r="W157" s="44"/>
      <c r="AA157" s="44"/>
    </row>
    <row r="158" spans="2:27" x14ac:dyDescent="0.35">
      <c r="B158" s="44"/>
      <c r="C158" s="44"/>
      <c r="D158" s="44"/>
      <c r="E158" s="44"/>
      <c r="H158" s="47"/>
      <c r="Q158" s="44"/>
      <c r="R158" s="44"/>
      <c r="V158" s="44"/>
      <c r="W158" s="44"/>
      <c r="AA158" s="44"/>
    </row>
    <row r="159" spans="2:27" x14ac:dyDescent="0.35">
      <c r="B159" s="44"/>
      <c r="C159" s="44"/>
      <c r="D159" s="44"/>
      <c r="E159" s="44"/>
      <c r="H159" s="47"/>
      <c r="Q159" s="44"/>
      <c r="R159" s="44"/>
      <c r="V159" s="44"/>
      <c r="W159" s="44"/>
      <c r="AA159" s="44"/>
    </row>
    <row r="160" spans="2:27" x14ac:dyDescent="0.35">
      <c r="B160" s="44"/>
      <c r="C160" s="44"/>
      <c r="D160" s="44"/>
      <c r="E160" s="44"/>
      <c r="H160" s="47"/>
      <c r="Q160" s="44"/>
      <c r="R160" s="44"/>
      <c r="V160" s="44"/>
      <c r="W160" s="44"/>
      <c r="AA160" s="44"/>
    </row>
    <row r="161" spans="2:27" x14ac:dyDescent="0.35">
      <c r="B161" s="44"/>
      <c r="C161" s="44"/>
      <c r="D161" s="44"/>
      <c r="E161" s="44"/>
      <c r="H161" s="47"/>
      <c r="Q161" s="44"/>
      <c r="R161" s="44"/>
      <c r="V161" s="44"/>
      <c r="W161" s="44"/>
      <c r="AA161" s="44"/>
    </row>
    <row r="162" spans="2:27" x14ac:dyDescent="0.35">
      <c r="B162" s="44"/>
      <c r="C162" s="44"/>
      <c r="D162" s="44"/>
      <c r="E162" s="44"/>
      <c r="H162" s="47"/>
      <c r="Q162" s="44"/>
      <c r="R162" s="44"/>
      <c r="V162" s="44"/>
      <c r="W162" s="44"/>
      <c r="AA162" s="44"/>
    </row>
    <row r="163" spans="2:27" x14ac:dyDescent="0.35">
      <c r="B163" s="44"/>
      <c r="C163" s="44"/>
      <c r="D163" s="44"/>
      <c r="E163" s="44"/>
      <c r="H163" s="47"/>
      <c r="Q163" s="44"/>
      <c r="R163" s="44"/>
      <c r="V163" s="44"/>
      <c r="W163" s="44"/>
      <c r="AA163" s="44"/>
    </row>
    <row r="164" spans="2:27" x14ac:dyDescent="0.35">
      <c r="B164" s="44"/>
      <c r="C164" s="44"/>
      <c r="D164" s="44"/>
      <c r="E164" s="44"/>
      <c r="H164" s="47"/>
      <c r="Q164" s="44"/>
      <c r="R164" s="44"/>
      <c r="V164" s="44"/>
      <c r="W164" s="44"/>
      <c r="AA164" s="44"/>
    </row>
    <row r="165" spans="2:27" x14ac:dyDescent="0.35">
      <c r="B165" s="44"/>
      <c r="C165" s="44"/>
      <c r="D165" s="44"/>
      <c r="E165" s="44"/>
      <c r="H165" s="47"/>
      <c r="Q165" s="44"/>
      <c r="R165" s="44"/>
      <c r="V165" s="44"/>
      <c r="W165" s="44"/>
      <c r="AA165" s="44"/>
    </row>
    <row r="166" spans="2:27" x14ac:dyDescent="0.35">
      <c r="B166" s="44"/>
      <c r="C166" s="44"/>
      <c r="D166" s="44"/>
      <c r="E166" s="44"/>
      <c r="H166" s="47"/>
      <c r="Q166" s="44"/>
      <c r="R166" s="44"/>
      <c r="V166" s="44"/>
      <c r="W166" s="44"/>
      <c r="AA166" s="44"/>
    </row>
    <row r="167" spans="2:27" x14ac:dyDescent="0.35">
      <c r="B167" s="44"/>
      <c r="C167" s="44"/>
      <c r="D167" s="44"/>
      <c r="E167" s="44"/>
      <c r="H167" s="47"/>
      <c r="Q167" s="44"/>
      <c r="R167" s="44"/>
      <c r="V167" s="44"/>
      <c r="W167" s="44"/>
      <c r="AA167" s="44"/>
    </row>
    <row r="168" spans="2:27" x14ac:dyDescent="0.35">
      <c r="B168" s="44"/>
      <c r="C168" s="44"/>
      <c r="D168" s="44"/>
      <c r="E168" s="44"/>
      <c r="H168" s="47"/>
      <c r="Q168" s="44"/>
      <c r="R168" s="44"/>
      <c r="V168" s="44"/>
      <c r="W168" s="44"/>
      <c r="AA168" s="44"/>
    </row>
    <row r="169" spans="2:27" x14ac:dyDescent="0.35">
      <c r="B169" s="44"/>
      <c r="C169" s="44"/>
      <c r="D169" s="44"/>
      <c r="E169" s="44"/>
      <c r="H169" s="47"/>
      <c r="Q169" s="44"/>
      <c r="R169" s="44"/>
      <c r="V169" s="44"/>
      <c r="W169" s="44"/>
      <c r="AA169" s="44"/>
    </row>
    <row r="170" spans="2:27" x14ac:dyDescent="0.35">
      <c r="B170" s="44"/>
      <c r="C170" s="44"/>
      <c r="D170" s="44"/>
      <c r="E170" s="44"/>
      <c r="H170" s="47"/>
      <c r="Q170" s="44"/>
      <c r="R170" s="44"/>
      <c r="V170" s="44"/>
      <c r="W170" s="44"/>
      <c r="AA170" s="44"/>
    </row>
    <row r="171" spans="2:27" x14ac:dyDescent="0.35">
      <c r="B171" s="44"/>
      <c r="C171" s="44"/>
      <c r="D171" s="44"/>
      <c r="E171" s="44"/>
      <c r="H171" s="47"/>
      <c r="Q171" s="44"/>
      <c r="R171" s="44"/>
      <c r="V171" s="44"/>
      <c r="W171" s="44"/>
      <c r="AA171" s="44"/>
    </row>
    <row r="172" spans="2:27" x14ac:dyDescent="0.35">
      <c r="B172" s="44"/>
      <c r="C172" s="44"/>
      <c r="D172" s="44"/>
      <c r="E172" s="44"/>
      <c r="H172" s="47"/>
      <c r="Q172" s="44"/>
      <c r="R172" s="44"/>
      <c r="V172" s="44"/>
      <c r="W172" s="44"/>
      <c r="AA172" s="44"/>
    </row>
    <row r="173" spans="2:27" x14ac:dyDescent="0.35">
      <c r="B173" s="44"/>
      <c r="C173" s="44"/>
      <c r="D173" s="44"/>
      <c r="E173" s="44"/>
      <c r="H173" s="47"/>
      <c r="Q173" s="44"/>
      <c r="R173" s="44"/>
      <c r="V173" s="44"/>
      <c r="W173" s="44"/>
      <c r="AA173" s="44"/>
    </row>
    <row r="174" spans="2:27" x14ac:dyDescent="0.35">
      <c r="B174" s="44"/>
      <c r="C174" s="44"/>
      <c r="D174" s="44"/>
      <c r="E174" s="44"/>
      <c r="H174" s="47"/>
      <c r="Q174" s="44"/>
      <c r="R174" s="44"/>
      <c r="V174" s="44"/>
      <c r="W174" s="44"/>
      <c r="AA174" s="44"/>
    </row>
    <row r="175" spans="2:27" x14ac:dyDescent="0.35">
      <c r="B175" s="44"/>
      <c r="C175" s="44"/>
      <c r="D175" s="44"/>
      <c r="E175" s="44"/>
      <c r="H175" s="47"/>
      <c r="Q175" s="44"/>
      <c r="R175" s="44"/>
      <c r="V175" s="44"/>
      <c r="W175" s="44"/>
      <c r="AA175" s="44"/>
    </row>
    <row r="176" spans="2:27" x14ac:dyDescent="0.35">
      <c r="B176" s="44"/>
      <c r="C176" s="44"/>
      <c r="D176" s="44"/>
      <c r="E176" s="44"/>
      <c r="H176" s="47"/>
      <c r="Q176" s="44"/>
      <c r="R176" s="44"/>
      <c r="V176" s="44"/>
      <c r="W176" s="44"/>
      <c r="AA176" s="44"/>
    </row>
    <row r="177" spans="2:27" x14ac:dyDescent="0.35">
      <c r="B177" s="44"/>
      <c r="C177" s="44"/>
      <c r="D177" s="44"/>
      <c r="E177" s="44"/>
      <c r="H177" s="47"/>
      <c r="Q177" s="44"/>
      <c r="R177" s="44"/>
      <c r="V177" s="44"/>
      <c r="W177" s="44"/>
      <c r="AA177" s="44"/>
    </row>
    <row r="178" spans="2:27" x14ac:dyDescent="0.35">
      <c r="B178" s="44"/>
      <c r="C178" s="44"/>
      <c r="D178" s="44"/>
      <c r="E178" s="44"/>
      <c r="H178" s="47"/>
      <c r="Q178" s="44"/>
      <c r="R178" s="44"/>
      <c r="V178" s="44"/>
      <c r="W178" s="44"/>
      <c r="AA178" s="44"/>
    </row>
    <row r="179" spans="2:27" x14ac:dyDescent="0.35">
      <c r="B179" s="44"/>
      <c r="C179" s="44"/>
      <c r="D179" s="44"/>
      <c r="E179" s="44"/>
      <c r="H179" s="47"/>
      <c r="Q179" s="44"/>
      <c r="R179" s="44"/>
      <c r="V179" s="44"/>
      <c r="W179" s="44"/>
      <c r="AA179" s="44"/>
    </row>
    <row r="180" spans="2:27" x14ac:dyDescent="0.35">
      <c r="B180" s="44"/>
      <c r="C180" s="44"/>
      <c r="D180" s="44"/>
      <c r="E180" s="44"/>
      <c r="H180" s="47"/>
      <c r="Q180" s="44"/>
      <c r="R180" s="44"/>
      <c r="V180" s="44"/>
      <c r="W180" s="44"/>
      <c r="AA180" s="44"/>
    </row>
    <row r="181" spans="2:27" x14ac:dyDescent="0.35">
      <c r="B181" s="44"/>
      <c r="C181" s="44"/>
      <c r="D181" s="44"/>
      <c r="E181" s="44"/>
      <c r="H181" s="47"/>
      <c r="Q181" s="44"/>
      <c r="R181" s="44"/>
      <c r="V181" s="44"/>
      <c r="W181" s="44"/>
      <c r="AA181" s="44"/>
    </row>
    <row r="182" spans="2:27" x14ac:dyDescent="0.35">
      <c r="B182" s="44"/>
      <c r="C182" s="44"/>
      <c r="D182" s="44"/>
      <c r="E182" s="44"/>
      <c r="H182" s="47"/>
      <c r="Q182" s="44"/>
      <c r="R182" s="44"/>
      <c r="V182" s="44"/>
      <c r="W182" s="44"/>
      <c r="AA182" s="44"/>
    </row>
    <row r="183" spans="2:27" x14ac:dyDescent="0.35">
      <c r="B183" s="44"/>
      <c r="C183" s="44"/>
      <c r="D183" s="44"/>
      <c r="E183" s="44"/>
      <c r="H183" s="47"/>
      <c r="Q183" s="44"/>
      <c r="R183" s="44"/>
      <c r="V183" s="44"/>
      <c r="W183" s="44"/>
      <c r="AA183" s="44"/>
    </row>
    <row r="184" spans="2:27" x14ac:dyDescent="0.35">
      <c r="B184" s="44"/>
      <c r="C184" s="44"/>
      <c r="D184" s="44"/>
      <c r="E184" s="44"/>
      <c r="H184" s="47"/>
      <c r="Q184" s="44"/>
      <c r="R184" s="44"/>
      <c r="V184" s="44"/>
      <c r="W184" s="44"/>
      <c r="AA184" s="44"/>
    </row>
    <row r="185" spans="2:27" x14ac:dyDescent="0.35">
      <c r="B185" s="44"/>
      <c r="C185" s="44"/>
      <c r="D185" s="44"/>
      <c r="E185" s="44"/>
      <c r="H185" s="47"/>
      <c r="Q185" s="44"/>
      <c r="R185" s="44"/>
      <c r="V185" s="44"/>
      <c r="W185" s="44"/>
      <c r="AA185" s="44"/>
    </row>
    <row r="186" spans="2:27" x14ac:dyDescent="0.35">
      <c r="B186" s="44"/>
      <c r="C186" s="44"/>
      <c r="D186" s="44"/>
      <c r="E186" s="44"/>
      <c r="H186" s="47"/>
      <c r="Q186" s="44"/>
      <c r="R186" s="44"/>
      <c r="V186" s="44"/>
      <c r="W186" s="44"/>
      <c r="AA186" s="44"/>
    </row>
    <row r="187" spans="2:27" x14ac:dyDescent="0.35">
      <c r="B187" s="44"/>
      <c r="C187" s="44"/>
      <c r="D187" s="44"/>
      <c r="E187" s="44"/>
      <c r="H187" s="47"/>
      <c r="Q187" s="44"/>
      <c r="R187" s="44"/>
      <c r="V187" s="44"/>
      <c r="W187" s="44"/>
      <c r="AA187" s="44"/>
    </row>
    <row r="188" spans="2:27" x14ac:dyDescent="0.35">
      <c r="B188" s="44"/>
      <c r="C188" s="44"/>
      <c r="D188" s="44"/>
      <c r="E188" s="44"/>
      <c r="H188" s="47"/>
      <c r="Q188" s="44"/>
      <c r="R188" s="44"/>
      <c r="V188" s="44"/>
      <c r="W188" s="44"/>
      <c r="AA188" s="44"/>
    </row>
    <row r="189" spans="2:27" x14ac:dyDescent="0.35">
      <c r="B189" s="44"/>
      <c r="C189" s="44"/>
      <c r="D189" s="44"/>
      <c r="E189" s="44"/>
      <c r="H189" s="47"/>
      <c r="Q189" s="44"/>
      <c r="R189" s="44"/>
      <c r="V189" s="44"/>
      <c r="W189" s="44"/>
      <c r="AA189" s="44"/>
    </row>
    <row r="190" spans="2:27" x14ac:dyDescent="0.35">
      <c r="B190" s="44"/>
      <c r="C190" s="44"/>
      <c r="D190" s="44"/>
      <c r="E190" s="44"/>
      <c r="H190" s="47"/>
      <c r="Q190" s="44"/>
      <c r="R190" s="44"/>
      <c r="V190" s="44"/>
      <c r="W190" s="44"/>
      <c r="AA190" s="44"/>
    </row>
    <row r="191" spans="2:27" x14ac:dyDescent="0.35">
      <c r="B191" s="44"/>
      <c r="C191" s="44"/>
      <c r="D191" s="44"/>
      <c r="E191" s="44"/>
      <c r="H191" s="47"/>
      <c r="Q191" s="44"/>
      <c r="R191" s="44"/>
      <c r="V191" s="44"/>
      <c r="W191" s="44"/>
      <c r="AA191" s="44"/>
    </row>
    <row r="192" spans="2:27" x14ac:dyDescent="0.35">
      <c r="B192" s="44"/>
      <c r="C192" s="44"/>
      <c r="D192" s="44"/>
      <c r="E192" s="44"/>
      <c r="H192" s="47"/>
      <c r="Q192" s="44"/>
      <c r="R192" s="44"/>
      <c r="V192" s="44"/>
      <c r="W192" s="44"/>
      <c r="AA192" s="44"/>
    </row>
    <row r="193" spans="2:27" x14ac:dyDescent="0.35">
      <c r="B193" s="44"/>
      <c r="C193" s="44"/>
      <c r="D193" s="44"/>
      <c r="E193" s="44"/>
      <c r="H193" s="47"/>
      <c r="Q193" s="44"/>
      <c r="R193" s="44"/>
      <c r="V193" s="44"/>
      <c r="W193" s="44"/>
      <c r="AA193" s="44"/>
    </row>
    <row r="194" spans="2:27" x14ac:dyDescent="0.35">
      <c r="B194" s="44"/>
      <c r="C194" s="44"/>
      <c r="D194" s="44"/>
      <c r="E194" s="44"/>
      <c r="H194" s="47"/>
      <c r="Q194" s="44"/>
      <c r="R194" s="44"/>
      <c r="V194" s="44"/>
      <c r="W194" s="44"/>
      <c r="AA194" s="44"/>
    </row>
    <row r="195" spans="2:27" x14ac:dyDescent="0.35">
      <c r="B195" s="44"/>
      <c r="C195" s="44"/>
      <c r="D195" s="44"/>
      <c r="E195" s="44"/>
      <c r="H195" s="47"/>
      <c r="Q195" s="44"/>
      <c r="R195" s="44"/>
      <c r="V195" s="44"/>
      <c r="W195" s="44"/>
      <c r="AA195" s="44"/>
    </row>
    <row r="196" spans="2:27" x14ac:dyDescent="0.35">
      <c r="B196" s="44"/>
      <c r="C196" s="44"/>
      <c r="D196" s="44"/>
      <c r="E196" s="44"/>
      <c r="H196" s="47"/>
      <c r="Q196" s="44"/>
      <c r="R196" s="44"/>
      <c r="V196" s="44"/>
      <c r="W196" s="44"/>
      <c r="AA196" s="44"/>
    </row>
    <row r="197" spans="2:27" x14ac:dyDescent="0.35">
      <c r="B197" s="44"/>
      <c r="C197" s="44"/>
      <c r="D197" s="44"/>
      <c r="E197" s="44"/>
      <c r="H197" s="47"/>
      <c r="Q197" s="44"/>
      <c r="R197" s="44"/>
      <c r="V197" s="44"/>
      <c r="W197" s="44"/>
      <c r="AA197" s="44"/>
    </row>
    <row r="198" spans="2:27" x14ac:dyDescent="0.35">
      <c r="B198" s="44"/>
      <c r="C198" s="44"/>
      <c r="D198" s="44"/>
      <c r="E198" s="44"/>
      <c r="H198" s="47"/>
      <c r="Q198" s="44"/>
      <c r="R198" s="44"/>
      <c r="V198" s="44"/>
      <c r="W198" s="44"/>
      <c r="AA198" s="44"/>
    </row>
    <row r="199" spans="2:27" x14ac:dyDescent="0.35">
      <c r="B199" s="44"/>
      <c r="C199" s="44"/>
      <c r="D199" s="44"/>
      <c r="E199" s="44"/>
      <c r="H199" s="47"/>
      <c r="Q199" s="44"/>
      <c r="R199" s="44"/>
      <c r="V199" s="44"/>
      <c r="W199" s="44"/>
      <c r="AA199" s="44"/>
    </row>
    <row r="200" spans="2:27" x14ac:dyDescent="0.35">
      <c r="B200" s="44"/>
      <c r="C200" s="44"/>
      <c r="D200" s="44"/>
      <c r="E200" s="44"/>
      <c r="H200" s="47"/>
      <c r="Q200" s="44"/>
      <c r="R200" s="44"/>
      <c r="V200" s="44"/>
      <c r="W200" s="44"/>
      <c r="AA200" s="44"/>
    </row>
    <row r="201" spans="2:27" x14ac:dyDescent="0.35">
      <c r="B201" s="44"/>
      <c r="C201" s="44"/>
      <c r="D201" s="44"/>
      <c r="E201" s="44"/>
      <c r="H201" s="47"/>
      <c r="Q201" s="44"/>
      <c r="R201" s="44"/>
      <c r="V201" s="44"/>
      <c r="W201" s="44"/>
      <c r="AA201" s="44"/>
    </row>
    <row r="202" spans="2:27" x14ac:dyDescent="0.35">
      <c r="B202" s="44"/>
      <c r="C202" s="44"/>
      <c r="D202" s="44"/>
      <c r="E202" s="44"/>
      <c r="H202" s="47"/>
      <c r="Q202" s="44"/>
      <c r="R202" s="44"/>
      <c r="V202" s="44"/>
      <c r="W202" s="44"/>
      <c r="AA202" s="44"/>
    </row>
    <row r="203" spans="2:27" x14ac:dyDescent="0.35">
      <c r="B203" s="44"/>
      <c r="C203" s="44"/>
      <c r="D203" s="44"/>
      <c r="E203" s="44"/>
      <c r="H203" s="47"/>
      <c r="Q203" s="44"/>
      <c r="R203" s="44"/>
      <c r="V203" s="44"/>
      <c r="W203" s="44"/>
      <c r="AA203" s="44"/>
    </row>
    <row r="204" spans="2:27" x14ac:dyDescent="0.35">
      <c r="B204" s="44"/>
      <c r="C204" s="44"/>
      <c r="D204" s="44"/>
      <c r="E204" s="44"/>
      <c r="H204" s="47"/>
      <c r="Q204" s="44"/>
      <c r="R204" s="44"/>
      <c r="V204" s="44"/>
      <c r="W204" s="44"/>
      <c r="AA204" s="44"/>
    </row>
    <row r="205" spans="2:27" x14ac:dyDescent="0.35">
      <c r="B205" s="44"/>
      <c r="C205" s="44"/>
      <c r="D205" s="44"/>
      <c r="E205" s="44"/>
      <c r="H205" s="47"/>
      <c r="Q205" s="44"/>
      <c r="R205" s="44"/>
      <c r="V205" s="44"/>
      <c r="W205" s="44"/>
      <c r="AA205" s="44"/>
    </row>
    <row r="206" spans="2:27" x14ac:dyDescent="0.35">
      <c r="B206" s="44"/>
      <c r="C206" s="44"/>
      <c r="D206" s="44"/>
      <c r="E206" s="44"/>
      <c r="H206" s="47"/>
      <c r="Q206" s="44"/>
      <c r="R206" s="44"/>
      <c r="V206" s="44"/>
      <c r="W206" s="44"/>
      <c r="AA206" s="44"/>
    </row>
    <row r="207" spans="2:27" x14ac:dyDescent="0.35">
      <c r="B207" s="44"/>
      <c r="C207" s="44"/>
      <c r="D207" s="44"/>
      <c r="E207" s="44"/>
      <c r="H207" s="47"/>
      <c r="Q207" s="44"/>
      <c r="R207" s="44"/>
      <c r="V207" s="44"/>
      <c r="W207" s="44"/>
      <c r="AA207" s="44"/>
    </row>
    <row r="208" spans="2:27" x14ac:dyDescent="0.35">
      <c r="B208" s="44"/>
      <c r="C208" s="44"/>
      <c r="D208" s="44"/>
      <c r="E208" s="44"/>
      <c r="H208" s="47"/>
      <c r="Q208" s="44"/>
      <c r="R208" s="44"/>
      <c r="V208" s="44"/>
      <c r="W208" s="44"/>
      <c r="AA208" s="44"/>
    </row>
    <row r="209" spans="2:27" x14ac:dyDescent="0.35">
      <c r="B209" s="44"/>
      <c r="C209" s="44"/>
      <c r="D209" s="44"/>
      <c r="E209" s="44"/>
      <c r="H209" s="47"/>
      <c r="Q209" s="44"/>
      <c r="R209" s="44"/>
      <c r="V209" s="44"/>
      <c r="W209" s="44"/>
      <c r="AA209" s="44"/>
    </row>
    <row r="210" spans="2:27" x14ac:dyDescent="0.35">
      <c r="B210" s="44"/>
      <c r="C210" s="44"/>
      <c r="D210" s="44"/>
      <c r="E210" s="44"/>
      <c r="H210" s="47"/>
      <c r="Q210" s="44"/>
      <c r="R210" s="44"/>
      <c r="V210" s="44"/>
      <c r="W210" s="44"/>
      <c r="AA210" s="44"/>
    </row>
    <row r="211" spans="2:27" x14ac:dyDescent="0.35">
      <c r="B211" s="44"/>
      <c r="C211" s="44"/>
      <c r="D211" s="44"/>
      <c r="E211" s="44"/>
      <c r="H211" s="47"/>
      <c r="Q211" s="44"/>
      <c r="R211" s="44"/>
      <c r="V211" s="44"/>
      <c r="W211" s="44"/>
      <c r="AA211" s="44"/>
    </row>
    <row r="212" spans="2:27" x14ac:dyDescent="0.35">
      <c r="B212" s="44"/>
      <c r="C212" s="44"/>
      <c r="D212" s="44"/>
      <c r="E212" s="44"/>
      <c r="H212" s="47"/>
      <c r="Q212" s="44"/>
      <c r="R212" s="44"/>
      <c r="V212" s="44"/>
      <c r="W212" s="44"/>
      <c r="AA212" s="44"/>
    </row>
    <row r="213" spans="2:27" x14ac:dyDescent="0.35">
      <c r="B213" s="44"/>
      <c r="C213" s="44"/>
      <c r="D213" s="44"/>
      <c r="E213" s="44"/>
      <c r="H213" s="47"/>
      <c r="Q213" s="44"/>
      <c r="R213" s="44"/>
      <c r="V213" s="44"/>
      <c r="W213" s="44"/>
      <c r="AA213" s="44"/>
    </row>
    <row r="214" spans="2:27" x14ac:dyDescent="0.35">
      <c r="B214" s="44"/>
      <c r="C214" s="44"/>
      <c r="D214" s="44"/>
      <c r="E214" s="44"/>
      <c r="H214" s="47"/>
      <c r="Q214" s="44"/>
      <c r="R214" s="44"/>
      <c r="V214" s="44"/>
      <c r="W214" s="44"/>
      <c r="AA214" s="44"/>
    </row>
    <row r="215" spans="2:27" x14ac:dyDescent="0.35">
      <c r="B215" s="44"/>
      <c r="C215" s="44"/>
      <c r="D215" s="44"/>
      <c r="E215" s="44"/>
      <c r="H215" s="47"/>
      <c r="Q215" s="44"/>
      <c r="R215" s="44"/>
      <c r="V215" s="44"/>
      <c r="W215" s="44"/>
      <c r="AA215" s="44"/>
    </row>
    <row r="216" spans="2:27" x14ac:dyDescent="0.35">
      <c r="B216" s="44"/>
      <c r="C216" s="44"/>
      <c r="D216" s="44"/>
      <c r="E216" s="44"/>
      <c r="H216" s="47"/>
      <c r="Q216" s="44"/>
      <c r="R216" s="44"/>
      <c r="V216" s="44"/>
      <c r="W216" s="44"/>
      <c r="AA216" s="44"/>
    </row>
    <row r="217" spans="2:27" x14ac:dyDescent="0.35">
      <c r="B217" s="44"/>
      <c r="C217" s="44"/>
      <c r="D217" s="44"/>
      <c r="E217" s="44"/>
      <c r="H217" s="47"/>
      <c r="Q217" s="44"/>
      <c r="R217" s="44"/>
      <c r="V217" s="44"/>
      <c r="W217" s="44"/>
      <c r="AA217" s="44"/>
    </row>
    <row r="218" spans="2:27" x14ac:dyDescent="0.35">
      <c r="B218" s="44"/>
      <c r="C218" s="44"/>
      <c r="D218" s="44"/>
      <c r="E218" s="44"/>
      <c r="H218" s="47"/>
      <c r="Q218" s="44"/>
      <c r="R218" s="44"/>
      <c r="V218" s="44"/>
      <c r="W218" s="44"/>
      <c r="AA218" s="44"/>
    </row>
    <row r="219" spans="2:27" x14ac:dyDescent="0.35">
      <c r="B219" s="44"/>
      <c r="C219" s="44"/>
      <c r="D219" s="44"/>
      <c r="E219" s="44"/>
      <c r="H219" s="47"/>
      <c r="Q219" s="44"/>
      <c r="R219" s="44"/>
      <c r="V219" s="44"/>
      <c r="W219" s="44"/>
      <c r="AA219" s="44"/>
    </row>
    <row r="220" spans="2:27" x14ac:dyDescent="0.35">
      <c r="B220" s="44"/>
      <c r="C220" s="44"/>
      <c r="D220" s="44"/>
      <c r="E220" s="44"/>
      <c r="H220" s="47"/>
      <c r="Q220" s="44"/>
      <c r="R220" s="44"/>
      <c r="V220" s="44"/>
      <c r="W220" s="44"/>
      <c r="AA220" s="44"/>
    </row>
    <row r="221" spans="2:27" x14ac:dyDescent="0.35">
      <c r="B221" s="44"/>
      <c r="C221" s="44"/>
      <c r="D221" s="44"/>
      <c r="E221" s="44"/>
      <c r="H221" s="47"/>
      <c r="Q221" s="44"/>
      <c r="R221" s="44"/>
      <c r="V221" s="44"/>
      <c r="W221" s="44"/>
      <c r="AA221" s="44"/>
    </row>
    <row r="222" spans="2:27" x14ac:dyDescent="0.35">
      <c r="B222" s="44"/>
      <c r="C222" s="44"/>
      <c r="D222" s="44"/>
      <c r="E222" s="44"/>
      <c r="H222" s="47"/>
      <c r="Q222" s="44"/>
      <c r="R222" s="44"/>
      <c r="V222" s="44"/>
      <c r="W222" s="44"/>
      <c r="AA222" s="44"/>
    </row>
    <row r="223" spans="2:27" x14ac:dyDescent="0.35">
      <c r="B223" s="44"/>
      <c r="C223" s="44"/>
      <c r="D223" s="44"/>
      <c r="E223" s="44"/>
      <c r="H223" s="47"/>
      <c r="Q223" s="44"/>
      <c r="R223" s="44"/>
      <c r="V223" s="44"/>
      <c r="W223" s="44"/>
      <c r="AA223" s="44"/>
    </row>
    <row r="224" spans="2:27" x14ac:dyDescent="0.35">
      <c r="B224" s="44"/>
      <c r="C224" s="44"/>
      <c r="D224" s="44"/>
      <c r="E224" s="44"/>
      <c r="H224" s="47"/>
      <c r="Q224" s="44"/>
      <c r="R224" s="44"/>
      <c r="V224" s="44"/>
      <c r="W224" s="44"/>
      <c r="AA224" s="44"/>
    </row>
    <row r="225" spans="2:27" x14ac:dyDescent="0.35">
      <c r="B225" s="44"/>
      <c r="C225" s="44"/>
      <c r="D225" s="44"/>
      <c r="E225" s="44"/>
      <c r="H225" s="47"/>
      <c r="Q225" s="44"/>
      <c r="R225" s="44"/>
      <c r="V225" s="44"/>
      <c r="W225" s="44"/>
      <c r="AA225" s="44"/>
    </row>
    <row r="226" spans="2:27" x14ac:dyDescent="0.35">
      <c r="B226" s="44"/>
      <c r="C226" s="44"/>
      <c r="D226" s="44"/>
      <c r="E226" s="44"/>
      <c r="H226" s="47"/>
      <c r="Q226" s="44"/>
      <c r="R226" s="44"/>
      <c r="V226" s="44"/>
      <c r="W226" s="44"/>
      <c r="AA226" s="44"/>
    </row>
    <row r="227" spans="2:27" x14ac:dyDescent="0.35">
      <c r="B227" s="44"/>
      <c r="C227" s="44"/>
      <c r="D227" s="44"/>
      <c r="E227" s="44"/>
      <c r="H227" s="47"/>
      <c r="Q227" s="44"/>
      <c r="R227" s="44"/>
      <c r="V227" s="44"/>
      <c r="W227" s="44"/>
      <c r="AA227" s="44"/>
    </row>
    <row r="228" spans="2:27" x14ac:dyDescent="0.35">
      <c r="B228" s="44"/>
      <c r="C228" s="44"/>
      <c r="D228" s="44"/>
      <c r="E228" s="44"/>
      <c r="H228" s="47"/>
      <c r="Q228" s="44"/>
      <c r="R228" s="44"/>
      <c r="V228" s="44"/>
      <c r="W228" s="44"/>
      <c r="AA228" s="44"/>
    </row>
    <row r="229" spans="2:27" x14ac:dyDescent="0.35">
      <c r="B229" s="44"/>
      <c r="C229" s="44"/>
      <c r="D229" s="44"/>
      <c r="E229" s="44"/>
      <c r="H229" s="47"/>
      <c r="Q229" s="44"/>
      <c r="R229" s="44"/>
      <c r="V229" s="44"/>
      <c r="W229" s="44"/>
      <c r="AA229" s="44"/>
    </row>
    <row r="230" spans="2:27" x14ac:dyDescent="0.35">
      <c r="B230" s="44"/>
      <c r="C230" s="44"/>
      <c r="D230" s="44"/>
      <c r="E230" s="44"/>
      <c r="H230" s="47"/>
      <c r="Q230" s="44"/>
      <c r="R230" s="44"/>
      <c r="V230" s="44"/>
      <c r="W230" s="44"/>
      <c r="AA230" s="44"/>
    </row>
    <row r="231" spans="2:27" x14ac:dyDescent="0.35">
      <c r="B231" s="44"/>
      <c r="C231" s="44"/>
      <c r="D231" s="44"/>
      <c r="E231" s="44"/>
      <c r="H231" s="47"/>
      <c r="Q231" s="44"/>
      <c r="R231" s="44"/>
      <c r="V231" s="44"/>
      <c r="W231" s="44"/>
      <c r="AA231" s="44"/>
    </row>
    <row r="232" spans="2:27" x14ac:dyDescent="0.35">
      <c r="B232" s="44"/>
      <c r="C232" s="44"/>
      <c r="D232" s="44"/>
      <c r="E232" s="44"/>
      <c r="H232" s="47"/>
      <c r="Q232" s="44"/>
      <c r="R232" s="44"/>
      <c r="V232" s="44"/>
      <c r="W232" s="44"/>
      <c r="AA232" s="44"/>
    </row>
    <row r="233" spans="2:27" x14ac:dyDescent="0.35">
      <c r="B233" s="44"/>
      <c r="C233" s="44"/>
      <c r="D233" s="44"/>
      <c r="E233" s="44"/>
      <c r="H233" s="47"/>
      <c r="Q233" s="44"/>
      <c r="R233" s="44"/>
      <c r="V233" s="44"/>
      <c r="W233" s="44"/>
      <c r="AA233" s="44"/>
    </row>
    <row r="234" spans="2:27" x14ac:dyDescent="0.35">
      <c r="B234" s="44"/>
      <c r="C234" s="44"/>
      <c r="D234" s="44"/>
      <c r="E234" s="44"/>
      <c r="H234" s="47"/>
      <c r="Q234" s="44"/>
      <c r="R234" s="44"/>
      <c r="V234" s="44"/>
      <c r="W234" s="44"/>
      <c r="AA234" s="44"/>
    </row>
    <row r="235" spans="2:27" x14ac:dyDescent="0.35">
      <c r="B235" s="44"/>
      <c r="C235" s="44"/>
      <c r="D235" s="44"/>
      <c r="E235" s="44"/>
      <c r="H235" s="47"/>
      <c r="Q235" s="44"/>
      <c r="R235" s="44"/>
      <c r="V235" s="44"/>
      <c r="W235" s="44"/>
      <c r="AA235" s="44"/>
    </row>
    <row r="236" spans="2:27" x14ac:dyDescent="0.35">
      <c r="B236" s="44"/>
      <c r="C236" s="44"/>
      <c r="D236" s="44"/>
      <c r="E236" s="44"/>
      <c r="H236" s="47"/>
      <c r="Q236" s="44"/>
      <c r="R236" s="44"/>
      <c r="V236" s="44"/>
      <c r="W236" s="44"/>
      <c r="AA236" s="44"/>
    </row>
    <row r="237" spans="2:27" x14ac:dyDescent="0.35">
      <c r="B237" s="44"/>
      <c r="C237" s="44"/>
      <c r="D237" s="44"/>
      <c r="E237" s="44"/>
      <c r="H237" s="47"/>
      <c r="Q237" s="44"/>
      <c r="R237" s="44"/>
      <c r="V237" s="44"/>
      <c r="W237" s="44"/>
      <c r="AA237" s="44"/>
    </row>
    <row r="238" spans="2:27" x14ac:dyDescent="0.35">
      <c r="B238" s="44"/>
      <c r="C238" s="44"/>
      <c r="D238" s="44"/>
      <c r="E238" s="44"/>
      <c r="H238" s="47"/>
      <c r="Q238" s="44"/>
      <c r="R238" s="44"/>
      <c r="V238" s="44"/>
      <c r="W238" s="44"/>
      <c r="AA238" s="44"/>
    </row>
    <row r="239" spans="2:27" x14ac:dyDescent="0.35">
      <c r="H239" s="47"/>
      <c r="Q239" s="44"/>
      <c r="R239" s="44"/>
      <c r="V239" s="44"/>
      <c r="W239" s="44"/>
      <c r="AA239" s="44"/>
    </row>
    <row r="240" spans="2:27" x14ac:dyDescent="0.35">
      <c r="H240" s="47"/>
      <c r="Q240" s="44"/>
      <c r="R240" s="44"/>
      <c r="V240" s="44"/>
      <c r="W240" s="44"/>
      <c r="AA240" s="44"/>
    </row>
    <row r="241" spans="8:27" x14ac:dyDescent="0.35">
      <c r="H241" s="47"/>
      <c r="Q241" s="44"/>
      <c r="R241" s="44"/>
      <c r="V241" s="44"/>
      <c r="W241" s="44"/>
      <c r="AA241" s="44"/>
    </row>
    <row r="242" spans="8:27" x14ac:dyDescent="0.35">
      <c r="H242" s="47"/>
      <c r="Q242" s="44"/>
      <c r="R242" s="44"/>
      <c r="V242" s="44"/>
      <c r="W242" s="44"/>
      <c r="AA242" s="44"/>
    </row>
    <row r="243" spans="8:27" x14ac:dyDescent="0.35">
      <c r="H243" s="47"/>
      <c r="Q243" s="44"/>
      <c r="R243" s="44"/>
      <c r="V243" s="44"/>
      <c r="W243" s="44"/>
      <c r="AA243" s="44"/>
    </row>
    <row r="244" spans="8:27" x14ac:dyDescent="0.35">
      <c r="H244" s="47"/>
      <c r="Q244" s="44"/>
      <c r="R244" s="44"/>
      <c r="V244" s="44"/>
      <c r="W244" s="44"/>
      <c r="AA244" s="44"/>
    </row>
    <row r="245" spans="8:27" x14ac:dyDescent="0.35">
      <c r="H245" s="47"/>
      <c r="Q245" s="44"/>
      <c r="R245" s="44"/>
      <c r="V245" s="44"/>
      <c r="W245" s="44"/>
      <c r="AA245" s="44"/>
    </row>
    <row r="246" spans="8:27" x14ac:dyDescent="0.35">
      <c r="H246" s="47"/>
      <c r="Q246" s="44"/>
      <c r="R246" s="44"/>
      <c r="V246" s="44"/>
      <c r="W246" s="44"/>
      <c r="AA246" s="44"/>
    </row>
    <row r="247" spans="8:27" x14ac:dyDescent="0.35">
      <c r="H247" s="47"/>
      <c r="Q247" s="44"/>
      <c r="R247" s="44"/>
      <c r="V247" s="44"/>
      <c r="W247" s="44"/>
      <c r="AA247" s="44"/>
    </row>
    <row r="248" spans="8:27" x14ac:dyDescent="0.35">
      <c r="H248" s="47"/>
      <c r="Q248" s="44"/>
      <c r="R248" s="44"/>
      <c r="V248" s="44"/>
      <c r="W248" s="44"/>
      <c r="AA248" s="44"/>
    </row>
    <row r="249" spans="8:27" x14ac:dyDescent="0.35">
      <c r="H249" s="47"/>
      <c r="Q249" s="44"/>
      <c r="R249" s="44"/>
      <c r="V249" s="44"/>
      <c r="W249" s="44"/>
      <c r="AA249" s="44"/>
    </row>
    <row r="250" spans="8:27" x14ac:dyDescent="0.35">
      <c r="H250" s="47"/>
      <c r="Q250" s="44"/>
      <c r="R250" s="44"/>
      <c r="V250" s="44"/>
      <c r="W250" s="44"/>
      <c r="AA250" s="44"/>
    </row>
    <row r="251" spans="8:27" x14ac:dyDescent="0.35">
      <c r="H251" s="47"/>
      <c r="Q251" s="44"/>
      <c r="R251" s="44"/>
      <c r="V251" s="44"/>
      <c r="W251" s="44"/>
      <c r="AA251" s="44"/>
    </row>
    <row r="252" spans="8:27" x14ac:dyDescent="0.35">
      <c r="H252" s="47"/>
      <c r="Q252" s="44"/>
      <c r="R252" s="44"/>
      <c r="V252" s="44"/>
      <c r="W252" s="44"/>
      <c r="AA252" s="44"/>
    </row>
    <row r="253" spans="8:27" x14ac:dyDescent="0.35">
      <c r="H253" s="47"/>
      <c r="Q253" s="44"/>
      <c r="R253" s="44"/>
      <c r="V253" s="44"/>
      <c r="W253" s="44"/>
      <c r="AA253" s="44"/>
    </row>
    <row r="254" spans="8:27" x14ac:dyDescent="0.35">
      <c r="H254" s="47"/>
      <c r="Q254" s="44"/>
      <c r="R254" s="44"/>
      <c r="V254" s="44"/>
      <c r="W254" s="44"/>
      <c r="AA254" s="44"/>
    </row>
    <row r="255" spans="8:27" x14ac:dyDescent="0.35">
      <c r="H255" s="47"/>
      <c r="Q255" s="44"/>
      <c r="R255" s="44"/>
      <c r="V255" s="44"/>
      <c r="W255" s="44"/>
      <c r="AA255" s="44"/>
    </row>
    <row r="256" spans="8:27" x14ac:dyDescent="0.35">
      <c r="H256" s="47"/>
      <c r="Q256" s="44"/>
      <c r="R256" s="44"/>
      <c r="V256" s="44"/>
      <c r="W256" s="44"/>
      <c r="AA256" s="44"/>
    </row>
    <row r="257" spans="8:27" x14ac:dyDescent="0.35">
      <c r="H257" s="47"/>
      <c r="Q257" s="44"/>
      <c r="R257" s="44"/>
      <c r="V257" s="44"/>
      <c r="W257" s="44"/>
      <c r="AA257" s="44"/>
    </row>
    <row r="258" spans="8:27" x14ac:dyDescent="0.35">
      <c r="H258" s="47"/>
      <c r="Q258" s="44"/>
      <c r="R258" s="44"/>
      <c r="V258" s="44"/>
      <c r="W258" s="44"/>
      <c r="AA258" s="44"/>
    </row>
    <row r="259" spans="8:27" x14ac:dyDescent="0.35">
      <c r="H259" s="47"/>
      <c r="Q259" s="44"/>
      <c r="R259" s="44"/>
      <c r="V259" s="44"/>
      <c r="W259" s="44"/>
      <c r="AA259" s="44"/>
    </row>
    <row r="260" spans="8:27" x14ac:dyDescent="0.35">
      <c r="H260" s="47"/>
      <c r="Q260" s="44"/>
      <c r="R260" s="44"/>
      <c r="V260" s="44"/>
      <c r="W260" s="44"/>
      <c r="AA260" s="44"/>
    </row>
    <row r="261" spans="8:27" x14ac:dyDescent="0.35">
      <c r="H261" s="47"/>
      <c r="Q261" s="44"/>
      <c r="R261" s="44"/>
      <c r="V261" s="44"/>
      <c r="W261" s="44"/>
      <c r="AA261" s="44"/>
    </row>
    <row r="262" spans="8:27" x14ac:dyDescent="0.35">
      <c r="H262" s="47"/>
      <c r="Q262" s="44"/>
      <c r="R262" s="44"/>
      <c r="V262" s="44"/>
      <c r="W262" s="44"/>
      <c r="AA262" s="44"/>
    </row>
    <row r="263" spans="8:27" x14ac:dyDescent="0.35">
      <c r="H263" s="47"/>
      <c r="Q263" s="44"/>
      <c r="R263" s="44"/>
      <c r="V263" s="44"/>
      <c r="W263" s="44"/>
      <c r="AA263" s="44"/>
    </row>
    <row r="264" spans="8:27" x14ac:dyDescent="0.35">
      <c r="H264" s="47"/>
      <c r="Q264" s="44"/>
      <c r="R264" s="44"/>
      <c r="V264" s="44"/>
      <c r="W264" s="44"/>
      <c r="AA264" s="44"/>
    </row>
    <row r="265" spans="8:27" x14ac:dyDescent="0.35">
      <c r="H265" s="47"/>
      <c r="Q265" s="44"/>
      <c r="R265" s="44"/>
      <c r="V265" s="44"/>
      <c r="W265" s="44"/>
      <c r="AA265" s="44"/>
    </row>
    <row r="266" spans="8:27" x14ac:dyDescent="0.35">
      <c r="H266" s="47"/>
      <c r="Q266" s="44"/>
      <c r="R266" s="44"/>
      <c r="V266" s="44"/>
      <c r="W266" s="44"/>
      <c r="AA266" s="44"/>
    </row>
    <row r="267" spans="8:27" x14ac:dyDescent="0.35">
      <c r="H267" s="47"/>
      <c r="Q267" s="44"/>
      <c r="R267" s="44"/>
      <c r="V267" s="44"/>
      <c r="W267" s="44"/>
      <c r="AA267" s="44"/>
    </row>
    <row r="268" spans="8:27" x14ac:dyDescent="0.35">
      <c r="H268" s="47"/>
      <c r="Q268" s="44"/>
      <c r="R268" s="44"/>
      <c r="V268" s="44"/>
      <c r="W268" s="44"/>
      <c r="AA268" s="44"/>
    </row>
    <row r="269" spans="8:27" x14ac:dyDescent="0.35">
      <c r="H269" s="47"/>
      <c r="Q269" s="44"/>
      <c r="R269" s="44"/>
      <c r="V269" s="44"/>
      <c r="W269" s="44"/>
      <c r="AA269" s="44"/>
    </row>
    <row r="270" spans="8:27" x14ac:dyDescent="0.35">
      <c r="H270" s="47"/>
      <c r="Q270" s="44"/>
      <c r="R270" s="44"/>
      <c r="V270" s="44"/>
      <c r="W270" s="44"/>
      <c r="AA270" s="44"/>
    </row>
    <row r="271" spans="8:27" x14ac:dyDescent="0.35">
      <c r="Q271" s="44"/>
      <c r="R271" s="44"/>
      <c r="V271" s="44"/>
      <c r="W271" s="44"/>
      <c r="AA271" s="44"/>
    </row>
    <row r="272" spans="8:27" x14ac:dyDescent="0.35">
      <c r="Q272" s="44"/>
      <c r="R272" s="44"/>
      <c r="V272" s="44"/>
      <c r="W272" s="44"/>
      <c r="AA272" s="44"/>
    </row>
    <row r="273" spans="17:27" x14ac:dyDescent="0.35">
      <c r="Q273" s="44"/>
      <c r="R273" s="44"/>
      <c r="V273" s="44"/>
      <c r="W273" s="44"/>
      <c r="AA273" s="44"/>
    </row>
    <row r="274" spans="17:27" x14ac:dyDescent="0.35">
      <c r="Q274" s="44"/>
      <c r="R274" s="44"/>
      <c r="V274" s="44"/>
      <c r="W274" s="44"/>
      <c r="AA274" s="44"/>
    </row>
    <row r="275" spans="17:27" x14ac:dyDescent="0.35">
      <c r="Q275" s="44"/>
      <c r="R275" s="44"/>
      <c r="V275" s="44"/>
      <c r="W275" s="44"/>
      <c r="AA275" s="44"/>
    </row>
    <row r="276" spans="17:27" x14ac:dyDescent="0.35">
      <c r="Q276" s="44"/>
      <c r="R276" s="44"/>
      <c r="V276" s="44"/>
      <c r="W276" s="44"/>
      <c r="AA276" s="44"/>
    </row>
    <row r="277" spans="17:27" x14ac:dyDescent="0.35">
      <c r="Q277" s="44"/>
      <c r="R277" s="44"/>
      <c r="V277" s="44"/>
      <c r="W277" s="44"/>
      <c r="AA277" s="44"/>
    </row>
    <row r="278" spans="17:27" x14ac:dyDescent="0.35">
      <c r="Q278" s="44"/>
      <c r="R278" s="44"/>
      <c r="V278" s="44"/>
      <c r="W278" s="44"/>
      <c r="AA278" s="44"/>
    </row>
    <row r="279" spans="17:27" x14ac:dyDescent="0.35">
      <c r="Q279" s="44"/>
      <c r="R279" s="44"/>
      <c r="V279" s="44"/>
      <c r="W279" s="44"/>
      <c r="AA279" s="44"/>
    </row>
    <row r="280" spans="17:27" x14ac:dyDescent="0.35">
      <c r="Q280" s="44"/>
      <c r="R280" s="44"/>
      <c r="V280" s="44"/>
      <c r="W280" s="44"/>
      <c r="AA280" s="44"/>
    </row>
    <row r="281" spans="17:27" x14ac:dyDescent="0.35">
      <c r="Q281" s="44"/>
      <c r="R281" s="44"/>
      <c r="V281" s="44"/>
      <c r="W281" s="44"/>
      <c r="AA281" s="44"/>
    </row>
    <row r="282" spans="17:27" x14ac:dyDescent="0.35">
      <c r="Q282" s="44"/>
      <c r="R282" s="44"/>
      <c r="V282" s="44"/>
      <c r="W282" s="44"/>
      <c r="AA282" s="44"/>
    </row>
    <row r="283" spans="17:27" x14ac:dyDescent="0.35">
      <c r="Q283" s="44"/>
      <c r="R283" s="44"/>
      <c r="V283" s="44"/>
      <c r="W283" s="44"/>
      <c r="AA283" s="44"/>
    </row>
    <row r="284" spans="17:27" x14ac:dyDescent="0.35">
      <c r="Q284" s="44"/>
      <c r="R284" s="44"/>
      <c r="V284" s="44"/>
      <c r="W284" s="44"/>
      <c r="AA284" s="44"/>
    </row>
    <row r="285" spans="17:27" x14ac:dyDescent="0.35">
      <c r="Q285" s="44"/>
      <c r="R285" s="44"/>
      <c r="V285" s="44"/>
      <c r="W285" s="44"/>
      <c r="AA285" s="44"/>
    </row>
    <row r="286" spans="17:27" x14ac:dyDescent="0.35">
      <c r="Q286" s="44"/>
      <c r="R286" s="44"/>
      <c r="V286" s="44"/>
      <c r="W286" s="44"/>
      <c r="AA286" s="44"/>
    </row>
    <row r="287" spans="17:27" x14ac:dyDescent="0.35">
      <c r="Q287" s="44"/>
      <c r="R287" s="44"/>
      <c r="V287" s="44"/>
      <c r="W287" s="44"/>
      <c r="AA287" s="44"/>
    </row>
    <row r="288" spans="17:27" x14ac:dyDescent="0.35">
      <c r="Q288" s="44"/>
      <c r="R288" s="44"/>
      <c r="V288" s="44"/>
      <c r="W288" s="44"/>
      <c r="AA288" s="44"/>
    </row>
    <row r="289" spans="17:27" x14ac:dyDescent="0.35">
      <c r="Q289" s="44"/>
      <c r="R289" s="44"/>
      <c r="V289" s="44"/>
      <c r="W289" s="44"/>
      <c r="AA289" s="44"/>
    </row>
    <row r="290" spans="17:27" x14ac:dyDescent="0.35">
      <c r="Q290" s="44"/>
      <c r="R290" s="44"/>
      <c r="V290" s="44"/>
      <c r="W290" s="44"/>
      <c r="AA290" s="44"/>
    </row>
    <row r="291" spans="17:27" x14ac:dyDescent="0.35">
      <c r="Q291" s="44"/>
      <c r="R291" s="44"/>
      <c r="V291" s="44"/>
      <c r="W291" s="44"/>
      <c r="AA291" s="44"/>
    </row>
    <row r="292" spans="17:27" x14ac:dyDescent="0.35">
      <c r="Q292" s="44"/>
      <c r="R292" s="44"/>
      <c r="V292" s="44"/>
      <c r="W292" s="44"/>
      <c r="AA292" s="44"/>
    </row>
    <row r="293" spans="17:27" x14ac:dyDescent="0.35">
      <c r="Q293" s="44"/>
      <c r="R293" s="44"/>
      <c r="V293" s="44"/>
      <c r="W293" s="44"/>
      <c r="AA293" s="44"/>
    </row>
    <row r="294" spans="17:27" x14ac:dyDescent="0.35">
      <c r="Q294" s="44"/>
      <c r="R294" s="44"/>
      <c r="V294" s="44"/>
      <c r="W294" s="44"/>
      <c r="AA294" s="44"/>
    </row>
    <row r="295" spans="17:27" x14ac:dyDescent="0.35">
      <c r="Q295" s="44"/>
      <c r="R295" s="44"/>
      <c r="V295" s="44"/>
      <c r="W295" s="44"/>
      <c r="AA295" s="44"/>
    </row>
    <row r="296" spans="17:27" x14ac:dyDescent="0.35">
      <c r="Q296" s="44"/>
      <c r="R296" s="44"/>
      <c r="V296" s="44"/>
      <c r="W296" s="44"/>
      <c r="AA296" s="44"/>
    </row>
    <row r="297" spans="17:27" x14ac:dyDescent="0.35">
      <c r="Q297" s="44"/>
      <c r="R297" s="44"/>
      <c r="V297" s="44"/>
      <c r="W297" s="44"/>
      <c r="AA297" s="44"/>
    </row>
    <row r="298" spans="17:27" x14ac:dyDescent="0.35">
      <c r="Q298" s="44"/>
      <c r="R298" s="44"/>
      <c r="V298" s="44"/>
      <c r="W298" s="44"/>
      <c r="AA298" s="44"/>
    </row>
    <row r="299" spans="17:27" x14ac:dyDescent="0.35">
      <c r="Q299" s="44"/>
      <c r="R299" s="44"/>
      <c r="V299" s="44"/>
      <c r="W299" s="44"/>
      <c r="AA299" s="44"/>
    </row>
    <row r="300" spans="17:27" x14ac:dyDescent="0.35">
      <c r="Q300" s="44"/>
      <c r="R300" s="44"/>
      <c r="V300" s="44"/>
      <c r="W300" s="44"/>
      <c r="AA300" s="44"/>
    </row>
    <row r="301" spans="17:27" x14ac:dyDescent="0.35">
      <c r="Q301" s="44"/>
      <c r="R301" s="44"/>
      <c r="V301" s="44"/>
      <c r="W301" s="44"/>
      <c r="AA301" s="44"/>
    </row>
    <row r="302" spans="17:27" x14ac:dyDescent="0.35">
      <c r="Q302" s="44"/>
      <c r="R302" s="44"/>
      <c r="V302" s="44"/>
      <c r="W302" s="44"/>
      <c r="AA302" s="44"/>
    </row>
    <row r="303" spans="17:27" x14ac:dyDescent="0.35">
      <c r="Q303" s="44"/>
      <c r="R303" s="44"/>
      <c r="V303" s="44"/>
      <c r="W303" s="44"/>
      <c r="AA303" s="44"/>
    </row>
    <row r="304" spans="17:27" x14ac:dyDescent="0.35">
      <c r="Q304" s="44"/>
      <c r="R304" s="44"/>
      <c r="V304" s="44"/>
      <c r="W304" s="44"/>
      <c r="AA304" s="44"/>
    </row>
    <row r="305" spans="17:27" x14ac:dyDescent="0.35">
      <c r="Q305" s="44"/>
      <c r="R305" s="44"/>
      <c r="V305" s="44"/>
      <c r="W305" s="44"/>
      <c r="AA305" s="44"/>
    </row>
    <row r="306" spans="17:27" x14ac:dyDescent="0.35">
      <c r="Q306" s="44"/>
      <c r="R306" s="44"/>
      <c r="V306" s="44"/>
      <c r="W306" s="44"/>
      <c r="AA306" s="44"/>
    </row>
    <row r="307" spans="17:27" x14ac:dyDescent="0.35">
      <c r="Q307" s="44"/>
      <c r="R307" s="44"/>
      <c r="V307" s="44"/>
      <c r="W307" s="44"/>
      <c r="AA307" s="44"/>
    </row>
    <row r="308" spans="17:27" x14ac:dyDescent="0.35">
      <c r="Q308" s="44"/>
      <c r="R308" s="44"/>
      <c r="V308" s="44"/>
      <c r="W308" s="44"/>
      <c r="AA308" s="44"/>
    </row>
    <row r="309" spans="17:27" x14ac:dyDescent="0.35">
      <c r="Q309" s="44"/>
      <c r="R309" s="44"/>
      <c r="V309" s="44"/>
      <c r="W309" s="44"/>
      <c r="AA309" s="44"/>
    </row>
    <row r="310" spans="17:27" x14ac:dyDescent="0.35">
      <c r="Q310" s="44"/>
      <c r="R310" s="44"/>
      <c r="V310" s="44"/>
      <c r="W310" s="44"/>
      <c r="AA310" s="44"/>
    </row>
    <row r="311" spans="17:27" x14ac:dyDescent="0.35">
      <c r="Q311" s="44"/>
      <c r="R311" s="44"/>
      <c r="V311" s="44"/>
      <c r="W311" s="44"/>
      <c r="AA311" s="44"/>
    </row>
    <row r="312" spans="17:27" x14ac:dyDescent="0.35">
      <c r="Q312" s="44"/>
      <c r="R312" s="44"/>
      <c r="V312" s="44"/>
      <c r="W312" s="44"/>
      <c r="AA312" s="44"/>
    </row>
    <row r="313" spans="17:27" x14ac:dyDescent="0.35">
      <c r="Q313" s="44"/>
      <c r="R313" s="44"/>
      <c r="V313" s="44"/>
      <c r="W313" s="44"/>
      <c r="AA313" s="44"/>
    </row>
    <row r="314" spans="17:27" x14ac:dyDescent="0.35">
      <c r="Q314" s="44"/>
      <c r="R314" s="44"/>
      <c r="V314" s="44"/>
      <c r="W314" s="44"/>
      <c r="AA314" s="44"/>
    </row>
    <row r="315" spans="17:27" x14ac:dyDescent="0.35">
      <c r="Q315" s="44"/>
      <c r="R315" s="44"/>
      <c r="V315" s="44"/>
      <c r="W315" s="44"/>
      <c r="AA315" s="44"/>
    </row>
    <row r="316" spans="17:27" x14ac:dyDescent="0.35">
      <c r="Q316" s="44"/>
      <c r="R316" s="44"/>
      <c r="V316" s="44"/>
      <c r="W316" s="44"/>
      <c r="AA316" s="44"/>
    </row>
    <row r="317" spans="17:27" x14ac:dyDescent="0.35">
      <c r="Q317" s="44"/>
      <c r="R317" s="44"/>
      <c r="V317" s="44"/>
      <c r="W317" s="44"/>
      <c r="AA317" s="44"/>
    </row>
    <row r="318" spans="17:27" x14ac:dyDescent="0.35">
      <c r="Q318" s="44"/>
      <c r="R318" s="44"/>
      <c r="V318" s="44"/>
      <c r="W318" s="44"/>
      <c r="AA318" s="44"/>
    </row>
    <row r="319" spans="17:27" x14ac:dyDescent="0.35">
      <c r="Q319" s="44"/>
      <c r="R319" s="44"/>
      <c r="V319" s="44"/>
      <c r="W319" s="44"/>
      <c r="AA319" s="44"/>
    </row>
    <row r="320" spans="17:27" x14ac:dyDescent="0.35">
      <c r="Q320" s="44"/>
      <c r="R320" s="44"/>
      <c r="V320" s="44"/>
      <c r="W320" s="44"/>
      <c r="AA320" s="44"/>
    </row>
    <row r="321" spans="17:27" x14ac:dyDescent="0.35">
      <c r="Q321" s="44"/>
      <c r="R321" s="44"/>
      <c r="V321" s="44"/>
      <c r="W321" s="44"/>
      <c r="AA321" s="44"/>
    </row>
    <row r="322" spans="17:27" x14ac:dyDescent="0.35">
      <c r="Q322" s="44"/>
      <c r="R322" s="44"/>
      <c r="V322" s="44"/>
      <c r="W322" s="44"/>
      <c r="AA322" s="44"/>
    </row>
    <row r="323" spans="17:27" x14ac:dyDescent="0.35">
      <c r="Q323" s="44"/>
      <c r="R323" s="44"/>
      <c r="V323" s="44"/>
      <c r="W323" s="44"/>
      <c r="AA323" s="44"/>
    </row>
    <row r="324" spans="17:27" x14ac:dyDescent="0.35">
      <c r="Q324" s="44"/>
      <c r="R324" s="44"/>
      <c r="V324" s="44"/>
      <c r="W324" s="44"/>
      <c r="AA324" s="44"/>
    </row>
    <row r="325" spans="17:27" x14ac:dyDescent="0.35">
      <c r="Q325" s="44"/>
      <c r="R325" s="44"/>
      <c r="V325" s="44"/>
      <c r="W325" s="44"/>
      <c r="AA325" s="44"/>
    </row>
    <row r="326" spans="17:27" x14ac:dyDescent="0.35">
      <c r="Q326" s="44"/>
      <c r="R326" s="44"/>
      <c r="V326" s="44"/>
      <c r="W326" s="44"/>
      <c r="AA326" s="44"/>
    </row>
    <row r="327" spans="17:27" x14ac:dyDescent="0.35">
      <c r="Q327" s="44"/>
      <c r="R327" s="44"/>
      <c r="V327" s="44"/>
      <c r="W327" s="44"/>
      <c r="AA327" s="44"/>
    </row>
    <row r="328" spans="17:27" x14ac:dyDescent="0.35">
      <c r="Q328" s="44"/>
      <c r="R328" s="44"/>
      <c r="V328" s="44"/>
      <c r="W328" s="44"/>
      <c r="AA328" s="44"/>
    </row>
    <row r="329" spans="17:27" x14ac:dyDescent="0.35">
      <c r="Q329" s="44"/>
      <c r="R329" s="44"/>
      <c r="V329" s="44"/>
      <c r="W329" s="44"/>
      <c r="AA329" s="44"/>
    </row>
    <row r="330" spans="17:27" x14ac:dyDescent="0.35">
      <c r="Q330" s="44"/>
      <c r="R330" s="44"/>
      <c r="V330" s="44"/>
      <c r="W330" s="44"/>
      <c r="AA330" s="44"/>
    </row>
    <row r="331" spans="17:27" x14ac:dyDescent="0.35">
      <c r="Q331" s="44"/>
      <c r="R331" s="44"/>
      <c r="V331" s="44"/>
      <c r="W331" s="44"/>
      <c r="AA331" s="44"/>
    </row>
    <row r="332" spans="17:27" x14ac:dyDescent="0.35">
      <c r="Q332" s="44"/>
      <c r="R332" s="44"/>
      <c r="V332" s="44"/>
      <c r="W332" s="44"/>
      <c r="AA332" s="44"/>
    </row>
    <row r="333" spans="17:27" x14ac:dyDescent="0.35">
      <c r="Q333" s="44"/>
      <c r="R333" s="44"/>
      <c r="V333" s="44"/>
      <c r="W333" s="44"/>
      <c r="AA333" s="44"/>
    </row>
    <row r="334" spans="17:27" x14ac:dyDescent="0.35">
      <c r="Q334" s="44"/>
      <c r="R334" s="44"/>
      <c r="V334" s="44"/>
      <c r="W334" s="44"/>
      <c r="AA334" s="44"/>
    </row>
    <row r="335" spans="17:27" x14ac:dyDescent="0.35">
      <c r="Q335" s="44"/>
      <c r="R335" s="44"/>
      <c r="V335" s="44"/>
      <c r="W335" s="44"/>
      <c r="AA335" s="44"/>
    </row>
    <row r="336" spans="17:27" x14ac:dyDescent="0.35">
      <c r="Q336" s="44"/>
      <c r="R336" s="44"/>
      <c r="V336" s="44"/>
      <c r="W336" s="44"/>
      <c r="AA336" s="44"/>
    </row>
    <row r="337" spans="17:27" x14ac:dyDescent="0.35">
      <c r="Q337" s="44"/>
      <c r="R337" s="44"/>
      <c r="V337" s="44"/>
      <c r="W337" s="44"/>
      <c r="AA337" s="44"/>
    </row>
    <row r="338" spans="17:27" x14ac:dyDescent="0.35">
      <c r="Q338" s="44"/>
      <c r="R338" s="44"/>
      <c r="V338" s="44"/>
      <c r="W338" s="44"/>
      <c r="AA338" s="44"/>
    </row>
    <row r="339" spans="17:27" x14ac:dyDescent="0.35">
      <c r="Q339" s="44"/>
      <c r="R339" s="44"/>
      <c r="V339" s="44"/>
      <c r="W339" s="44"/>
      <c r="AA339" s="44"/>
    </row>
    <row r="340" spans="17:27" x14ac:dyDescent="0.35">
      <c r="Q340" s="44"/>
      <c r="R340" s="44"/>
      <c r="V340" s="44"/>
      <c r="W340" s="44"/>
      <c r="AA340" s="44"/>
    </row>
    <row r="341" spans="17:27" x14ac:dyDescent="0.35">
      <c r="Q341" s="44"/>
      <c r="R341" s="44"/>
      <c r="V341" s="44"/>
      <c r="W341" s="44"/>
      <c r="AA341" s="44"/>
    </row>
    <row r="342" spans="17:27" x14ac:dyDescent="0.35">
      <c r="Q342" s="44"/>
      <c r="R342" s="44"/>
      <c r="V342" s="44"/>
      <c r="W342" s="44"/>
      <c r="AA342" s="44"/>
    </row>
    <row r="343" spans="17:27" x14ac:dyDescent="0.35">
      <c r="Q343" s="44"/>
      <c r="R343" s="44"/>
      <c r="V343" s="44"/>
      <c r="W343" s="44"/>
      <c r="AA343" s="44"/>
    </row>
    <row r="344" spans="17:27" x14ac:dyDescent="0.35">
      <c r="Q344" s="44"/>
      <c r="R344" s="44"/>
      <c r="V344" s="44"/>
      <c r="W344" s="44"/>
      <c r="AA344" s="44"/>
    </row>
    <row r="345" spans="17:27" x14ac:dyDescent="0.35">
      <c r="Q345" s="44"/>
      <c r="R345" s="44"/>
      <c r="V345" s="44"/>
      <c r="W345" s="44"/>
      <c r="AA345" s="44"/>
    </row>
    <row r="346" spans="17:27" x14ac:dyDescent="0.35">
      <c r="Q346" s="44"/>
      <c r="R346" s="44"/>
      <c r="V346" s="44"/>
      <c r="W346" s="44"/>
      <c r="AA346" s="44"/>
    </row>
    <row r="347" spans="17:27" x14ac:dyDescent="0.35">
      <c r="Q347" s="44"/>
      <c r="R347" s="44"/>
      <c r="V347" s="44"/>
      <c r="W347" s="44"/>
      <c r="AA347" s="44"/>
    </row>
    <row r="348" spans="17:27" x14ac:dyDescent="0.35">
      <c r="Q348" s="44"/>
      <c r="R348" s="44"/>
      <c r="V348" s="44"/>
      <c r="W348" s="44"/>
      <c r="AA348" s="44"/>
    </row>
    <row r="349" spans="17:27" x14ac:dyDescent="0.35">
      <c r="Q349" s="44"/>
      <c r="R349" s="44"/>
      <c r="V349" s="44"/>
      <c r="W349" s="44"/>
      <c r="AA349" s="44"/>
    </row>
    <row r="350" spans="17:27" x14ac:dyDescent="0.35">
      <c r="Q350" s="44"/>
      <c r="R350" s="44"/>
      <c r="V350" s="44"/>
      <c r="W350" s="44"/>
      <c r="AA350" s="44"/>
    </row>
    <row r="351" spans="17:27" x14ac:dyDescent="0.35">
      <c r="Q351" s="44"/>
      <c r="R351" s="44"/>
      <c r="V351" s="44"/>
      <c r="W351" s="44"/>
      <c r="AA351" s="44"/>
    </row>
    <row r="352" spans="17:27" x14ac:dyDescent="0.35">
      <c r="Q352" s="44"/>
      <c r="R352" s="44"/>
      <c r="V352" s="44"/>
      <c r="W352" s="44"/>
      <c r="AA352" s="44"/>
    </row>
    <row r="353" spans="17:27" x14ac:dyDescent="0.35">
      <c r="Q353" s="44"/>
      <c r="R353" s="44"/>
      <c r="V353" s="44"/>
      <c r="W353" s="44"/>
      <c r="AA353" s="44"/>
    </row>
    <row r="354" spans="17:27" x14ac:dyDescent="0.35">
      <c r="Q354" s="44"/>
      <c r="R354" s="44"/>
      <c r="V354" s="44"/>
      <c r="W354" s="44"/>
      <c r="AA354" s="44"/>
    </row>
    <row r="355" spans="17:27" x14ac:dyDescent="0.35">
      <c r="Q355" s="44"/>
      <c r="R355" s="44"/>
      <c r="V355" s="44"/>
      <c r="W355" s="44"/>
      <c r="AA355" s="44"/>
    </row>
    <row r="356" spans="17:27" x14ac:dyDescent="0.35">
      <c r="Q356" s="44"/>
      <c r="R356" s="44"/>
      <c r="V356" s="44"/>
      <c r="W356" s="44"/>
      <c r="AA356" s="44"/>
    </row>
    <row r="357" spans="17:27" x14ac:dyDescent="0.35">
      <c r="Q357" s="44"/>
      <c r="R357" s="44"/>
      <c r="V357" s="44"/>
      <c r="W357" s="44"/>
      <c r="AA357" s="44"/>
    </row>
    <row r="358" spans="17:27" x14ac:dyDescent="0.35">
      <c r="Q358" s="44"/>
      <c r="R358" s="44"/>
      <c r="V358" s="44"/>
      <c r="W358" s="44"/>
      <c r="AA358" s="44"/>
    </row>
    <row r="359" spans="17:27" x14ac:dyDescent="0.35">
      <c r="Q359" s="44"/>
      <c r="R359" s="44"/>
      <c r="V359" s="44"/>
      <c r="W359" s="44"/>
      <c r="AA359" s="44"/>
    </row>
    <row r="360" spans="17:27" x14ac:dyDescent="0.35">
      <c r="Q360" s="44"/>
      <c r="R360" s="44"/>
      <c r="V360" s="44"/>
      <c r="W360" s="44"/>
      <c r="AA360" s="44"/>
    </row>
    <row r="361" spans="17:27" x14ac:dyDescent="0.35">
      <c r="Q361" s="44"/>
      <c r="R361" s="44"/>
      <c r="V361" s="44"/>
      <c r="W361" s="44"/>
      <c r="AA361" s="44"/>
    </row>
    <row r="362" spans="17:27" x14ac:dyDescent="0.35">
      <c r="Q362" s="44"/>
      <c r="R362" s="44"/>
      <c r="V362" s="44"/>
      <c r="W362" s="44"/>
      <c r="AA362" s="44"/>
    </row>
    <row r="363" spans="17:27" x14ac:dyDescent="0.35">
      <c r="Q363" s="44"/>
      <c r="R363" s="44"/>
      <c r="V363" s="44"/>
      <c r="W363" s="44"/>
      <c r="AA363" s="44"/>
    </row>
    <row r="364" spans="17:27" x14ac:dyDescent="0.35">
      <c r="Q364" s="44"/>
      <c r="R364" s="44"/>
      <c r="V364" s="44"/>
      <c r="W364" s="44"/>
      <c r="AA364" s="44"/>
    </row>
    <row r="365" spans="17:27" x14ac:dyDescent="0.35">
      <c r="Q365" s="44"/>
      <c r="R365" s="44"/>
      <c r="V365" s="44"/>
      <c r="W365" s="44"/>
      <c r="AA365" s="44"/>
    </row>
    <row r="366" spans="17:27" x14ac:dyDescent="0.35">
      <c r="Q366" s="44"/>
      <c r="R366" s="44"/>
      <c r="V366" s="44"/>
      <c r="W366" s="44"/>
      <c r="AA366" s="44"/>
    </row>
    <row r="367" spans="17:27" x14ac:dyDescent="0.35">
      <c r="Q367" s="44"/>
      <c r="R367" s="44"/>
      <c r="V367" s="44"/>
      <c r="W367" s="44"/>
      <c r="AA367" s="44"/>
    </row>
    <row r="368" spans="17:27" x14ac:dyDescent="0.35">
      <c r="Q368" s="44"/>
      <c r="R368" s="44"/>
      <c r="V368" s="44"/>
      <c r="W368" s="44"/>
      <c r="AA368" s="44"/>
    </row>
    <row r="369" spans="17:27" x14ac:dyDescent="0.35">
      <c r="Q369" s="44"/>
      <c r="R369" s="44"/>
      <c r="V369" s="44"/>
      <c r="W369" s="44"/>
      <c r="AA369" s="44"/>
    </row>
    <row r="370" spans="17:27" x14ac:dyDescent="0.35">
      <c r="Q370" s="44"/>
      <c r="R370" s="44"/>
      <c r="V370" s="44"/>
      <c r="W370" s="44"/>
      <c r="AA370" s="44"/>
    </row>
    <row r="371" spans="17:27" x14ac:dyDescent="0.35">
      <c r="Q371" s="44"/>
      <c r="R371" s="44"/>
      <c r="V371" s="44"/>
      <c r="W371" s="44"/>
      <c r="AA371" s="44"/>
    </row>
    <row r="372" spans="17:27" x14ac:dyDescent="0.35">
      <c r="Q372" s="44"/>
      <c r="R372" s="44"/>
      <c r="V372" s="44"/>
      <c r="W372" s="44"/>
      <c r="AA372" s="44"/>
    </row>
    <row r="373" spans="17:27" x14ac:dyDescent="0.35">
      <c r="Q373" s="44"/>
      <c r="R373" s="44"/>
      <c r="V373" s="44"/>
      <c r="W373" s="44"/>
      <c r="AA373" s="44"/>
    </row>
    <row r="374" spans="17:27" x14ac:dyDescent="0.35">
      <c r="Q374" s="44"/>
      <c r="R374" s="44"/>
      <c r="V374" s="44"/>
      <c r="W374" s="44"/>
      <c r="AA374" s="44"/>
    </row>
    <row r="375" spans="17:27" x14ac:dyDescent="0.35">
      <c r="Q375" s="44"/>
      <c r="R375" s="44"/>
      <c r="V375" s="44"/>
      <c r="W375" s="44"/>
      <c r="AA375" s="44"/>
    </row>
    <row r="376" spans="17:27" x14ac:dyDescent="0.35">
      <c r="Q376" s="44"/>
      <c r="R376" s="44"/>
      <c r="V376" s="44"/>
      <c r="W376" s="44"/>
      <c r="AA376" s="44"/>
    </row>
    <row r="377" spans="17:27" x14ac:dyDescent="0.35">
      <c r="Q377" s="44"/>
      <c r="R377" s="44"/>
      <c r="V377" s="44"/>
      <c r="W377" s="44"/>
      <c r="AA377" s="44"/>
    </row>
    <row r="378" spans="17:27" x14ac:dyDescent="0.35">
      <c r="Q378" s="44"/>
      <c r="R378" s="44"/>
      <c r="V378" s="18"/>
      <c r="AA378" s="44"/>
    </row>
    <row r="379" spans="17:27" x14ac:dyDescent="0.35">
      <c r="Q379" s="44"/>
      <c r="R379" s="44"/>
      <c r="V379" s="18"/>
      <c r="AA379" s="44"/>
    </row>
    <row r="380" spans="17:27" x14ac:dyDescent="0.35">
      <c r="Q380" s="44"/>
      <c r="R380" s="44"/>
      <c r="V380" s="18"/>
      <c r="AA380" s="44"/>
    </row>
    <row r="381" spans="17:27" x14ac:dyDescent="0.35">
      <c r="Q381" s="44"/>
      <c r="R381" s="44"/>
      <c r="V381" s="18"/>
      <c r="AA381" s="44"/>
    </row>
    <row r="382" spans="17:27" x14ac:dyDescent="0.35">
      <c r="Q382" s="44"/>
      <c r="R382" s="44"/>
      <c r="V382" s="18"/>
      <c r="AA382" s="44"/>
    </row>
    <row r="383" spans="17:27" x14ac:dyDescent="0.35">
      <c r="Q383" s="44"/>
      <c r="R383" s="44"/>
      <c r="V383" s="18"/>
      <c r="AA383" s="44"/>
    </row>
    <row r="384" spans="17:27" x14ac:dyDescent="0.35">
      <c r="Q384" s="44"/>
      <c r="R384" s="44"/>
      <c r="V384" s="18"/>
      <c r="AA384" s="44"/>
    </row>
    <row r="385" spans="17:27" x14ac:dyDescent="0.35">
      <c r="Q385" s="44"/>
      <c r="R385" s="44"/>
      <c r="V385" s="18"/>
      <c r="AA385" s="44"/>
    </row>
    <row r="386" spans="17:27" x14ac:dyDescent="0.35">
      <c r="Q386" s="44"/>
      <c r="R386" s="44"/>
      <c r="V386" s="18"/>
      <c r="AA386" s="44"/>
    </row>
    <row r="387" spans="17:27" x14ac:dyDescent="0.35">
      <c r="Q387" s="44"/>
      <c r="R387" s="44"/>
      <c r="V387" s="18"/>
      <c r="AA387" s="44"/>
    </row>
    <row r="388" spans="17:27" x14ac:dyDescent="0.35">
      <c r="Q388" s="44"/>
      <c r="R388" s="44"/>
      <c r="V388" s="18"/>
      <c r="AA388" s="44"/>
    </row>
    <row r="389" spans="17:27" x14ac:dyDescent="0.35">
      <c r="Q389" s="44"/>
      <c r="R389" s="44"/>
      <c r="V389" s="18"/>
      <c r="AA389" s="44"/>
    </row>
    <row r="390" spans="17:27" x14ac:dyDescent="0.35">
      <c r="Q390" s="44"/>
      <c r="R390" s="44"/>
      <c r="V390" s="18"/>
      <c r="AA390" s="44"/>
    </row>
    <row r="391" spans="17:27" x14ac:dyDescent="0.35">
      <c r="Q391" s="44"/>
      <c r="R391" s="44"/>
      <c r="V391" s="18"/>
      <c r="AA391" s="44"/>
    </row>
    <row r="392" spans="17:27" x14ac:dyDescent="0.35">
      <c r="Q392" s="44"/>
      <c r="R392" s="44"/>
      <c r="V392" s="18"/>
      <c r="AA392" s="44"/>
    </row>
    <row r="393" spans="17:27" x14ac:dyDescent="0.35">
      <c r="Q393" s="44"/>
      <c r="R393" s="44"/>
      <c r="V393" s="18"/>
      <c r="AA393" s="44"/>
    </row>
    <row r="394" spans="17:27" x14ac:dyDescent="0.35">
      <c r="Q394" s="44"/>
      <c r="R394" s="44"/>
      <c r="V394" s="18"/>
      <c r="AA394" s="44"/>
    </row>
    <row r="395" spans="17:27" x14ac:dyDescent="0.35">
      <c r="Q395" s="44"/>
      <c r="R395" s="44"/>
      <c r="V395" s="18"/>
      <c r="AA395" s="44"/>
    </row>
    <row r="396" spans="17:27" x14ac:dyDescent="0.35">
      <c r="Q396" s="44"/>
      <c r="R396" s="44"/>
      <c r="V396" s="18"/>
      <c r="AA396" s="44"/>
    </row>
    <row r="397" spans="17:27" x14ac:dyDescent="0.35">
      <c r="Q397" s="44"/>
      <c r="R397" s="44"/>
      <c r="V397" s="18"/>
      <c r="AA397" s="44"/>
    </row>
    <row r="398" spans="17:27" x14ac:dyDescent="0.35">
      <c r="Q398" s="44"/>
      <c r="R398" s="44"/>
      <c r="V398" s="18"/>
      <c r="AA398" s="44"/>
    </row>
    <row r="399" spans="17:27" x14ac:dyDescent="0.35">
      <c r="Q399" s="18"/>
      <c r="V399" s="18"/>
      <c r="AA399" s="44"/>
    </row>
    <row r="400" spans="17:27" x14ac:dyDescent="0.35">
      <c r="Q400" s="18"/>
      <c r="V400" s="18"/>
      <c r="AA400" s="44"/>
    </row>
    <row r="401" spans="17:27" x14ac:dyDescent="0.35">
      <c r="Q401" s="18"/>
      <c r="V401" s="18"/>
      <c r="AA401" s="44"/>
    </row>
    <row r="402" spans="17:27" x14ac:dyDescent="0.35">
      <c r="Q402" s="18"/>
      <c r="V402" s="18"/>
      <c r="AA402" s="44"/>
    </row>
    <row r="403" spans="17:27" x14ac:dyDescent="0.35">
      <c r="Q403" s="18"/>
      <c r="V403" s="18"/>
      <c r="AA403" s="44"/>
    </row>
    <row r="404" spans="17:27" x14ac:dyDescent="0.35">
      <c r="Q404" s="18"/>
      <c r="V404" s="18"/>
      <c r="AA404" s="44"/>
    </row>
    <row r="405" spans="17:27" x14ac:dyDescent="0.35">
      <c r="Q405" s="18"/>
      <c r="V405" s="18"/>
      <c r="AA405" s="44"/>
    </row>
    <row r="406" spans="17:27" x14ac:dyDescent="0.35">
      <c r="Q406" s="18"/>
      <c r="V406" s="18"/>
      <c r="AA406" s="44"/>
    </row>
    <row r="407" spans="17:27" x14ac:dyDescent="0.35">
      <c r="Q407" s="18"/>
      <c r="V407" s="18"/>
      <c r="AA407" s="44"/>
    </row>
    <row r="408" spans="17:27" x14ac:dyDescent="0.35">
      <c r="Q408" s="18"/>
      <c r="V408" s="18"/>
      <c r="AA408" s="44"/>
    </row>
    <row r="409" spans="17:27" x14ac:dyDescent="0.35">
      <c r="Q409" s="18"/>
      <c r="V409" s="18"/>
      <c r="AA409" s="44"/>
    </row>
    <row r="410" spans="17:27" x14ac:dyDescent="0.35">
      <c r="Q410" s="18"/>
      <c r="V410" s="18"/>
      <c r="AA410" s="44"/>
    </row>
    <row r="411" spans="17:27" x14ac:dyDescent="0.35">
      <c r="Q411" s="18"/>
      <c r="V411" s="18"/>
      <c r="AA411" s="44"/>
    </row>
    <row r="412" spans="17:27" x14ac:dyDescent="0.35">
      <c r="Q412" s="18"/>
      <c r="V412" s="18"/>
      <c r="AA412" s="18"/>
    </row>
    <row r="413" spans="17:27" x14ac:dyDescent="0.35">
      <c r="Q413" s="18"/>
      <c r="V413" s="18"/>
      <c r="AA413" s="18"/>
    </row>
    <row r="414" spans="17:27" x14ac:dyDescent="0.35">
      <c r="Q414" s="18"/>
      <c r="V414" s="18"/>
      <c r="AA414" s="18"/>
    </row>
    <row r="415" spans="17:27" x14ac:dyDescent="0.35">
      <c r="Q415" s="18"/>
      <c r="V415" s="18"/>
      <c r="AA415" s="18"/>
    </row>
    <row r="416" spans="17:27" x14ac:dyDescent="0.35">
      <c r="Q416" s="18"/>
      <c r="V416" s="18"/>
      <c r="AA416" s="18"/>
    </row>
    <row r="417" spans="17:27" x14ac:dyDescent="0.35">
      <c r="Q417" s="18"/>
      <c r="V417" s="18"/>
      <c r="AA417" s="18"/>
    </row>
    <row r="418" spans="17:27" x14ac:dyDescent="0.35">
      <c r="Q418" s="18"/>
      <c r="V418" s="18"/>
      <c r="AA418" s="18"/>
    </row>
    <row r="419" spans="17:27" x14ac:dyDescent="0.35">
      <c r="Q419" s="18"/>
      <c r="V419" s="18"/>
      <c r="AA419" s="18"/>
    </row>
    <row r="420" spans="17:27" x14ac:dyDescent="0.35">
      <c r="Q420" s="18"/>
      <c r="V420" s="18"/>
      <c r="AA420" s="18"/>
    </row>
    <row r="421" spans="17:27" x14ac:dyDescent="0.35">
      <c r="Q421" s="18"/>
      <c r="V421" s="18"/>
      <c r="AA421" s="18"/>
    </row>
    <row r="422" spans="17:27" x14ac:dyDescent="0.35">
      <c r="Q422" s="18"/>
      <c r="V422" s="18"/>
      <c r="AA422" s="18"/>
    </row>
    <row r="423" spans="17:27" x14ac:dyDescent="0.35">
      <c r="Q423" s="18"/>
      <c r="V423" s="18"/>
      <c r="AA423" s="18"/>
    </row>
    <row r="424" spans="17:27" x14ac:dyDescent="0.35">
      <c r="Q424" s="18"/>
      <c r="V424" s="18"/>
      <c r="AA424" s="18"/>
    </row>
    <row r="425" spans="17:27" x14ac:dyDescent="0.35">
      <c r="Q425" s="18"/>
      <c r="V425" s="18"/>
      <c r="AA425" s="18"/>
    </row>
    <row r="426" spans="17:27" x14ac:dyDescent="0.35">
      <c r="Q426" s="18"/>
      <c r="V426" s="18"/>
      <c r="AA426" s="18"/>
    </row>
    <row r="427" spans="17:27" x14ac:dyDescent="0.35">
      <c r="Q427" s="18"/>
      <c r="V427" s="18"/>
      <c r="AA427" s="18"/>
    </row>
    <row r="428" spans="17:27" x14ac:dyDescent="0.35">
      <c r="Q428" s="18"/>
      <c r="V428" s="18"/>
      <c r="AA428" s="18"/>
    </row>
    <row r="429" spans="17:27" x14ac:dyDescent="0.35">
      <c r="Q429" s="18"/>
      <c r="V429" s="18"/>
      <c r="AA429" s="18"/>
    </row>
    <row r="430" spans="17:27" x14ac:dyDescent="0.35">
      <c r="Q430" s="18"/>
      <c r="V430" s="18"/>
      <c r="AA430" s="18"/>
    </row>
    <row r="431" spans="17:27" x14ac:dyDescent="0.35">
      <c r="Q431" s="18"/>
      <c r="V431" s="18"/>
      <c r="AA431" s="18"/>
    </row>
    <row r="432" spans="17:27" x14ac:dyDescent="0.35">
      <c r="Q432" s="18"/>
      <c r="V432" s="18"/>
      <c r="AA432" s="18"/>
    </row>
    <row r="433" spans="17:27" x14ac:dyDescent="0.35">
      <c r="Q433" s="18"/>
      <c r="V433" s="18"/>
      <c r="AA433" s="18"/>
    </row>
    <row r="434" spans="17:27" x14ac:dyDescent="0.35">
      <c r="Q434" s="18"/>
      <c r="V434" s="18"/>
      <c r="AA434" s="18"/>
    </row>
    <row r="435" spans="17:27" x14ac:dyDescent="0.35">
      <c r="Q435" s="18"/>
      <c r="V435" s="18"/>
      <c r="AA435" s="18"/>
    </row>
    <row r="436" spans="17:27" x14ac:dyDescent="0.35">
      <c r="Q436" s="18"/>
      <c r="V436" s="18"/>
      <c r="AA436" s="18"/>
    </row>
    <row r="437" spans="17:27" x14ac:dyDescent="0.35">
      <c r="Q437" s="18"/>
      <c r="V437" s="18"/>
      <c r="AA437" s="18"/>
    </row>
    <row r="438" spans="17:27" x14ac:dyDescent="0.35">
      <c r="Q438" s="18"/>
      <c r="V438" s="18"/>
      <c r="AA438" s="18"/>
    </row>
    <row r="439" spans="17:27" x14ac:dyDescent="0.35">
      <c r="Q439" s="18"/>
      <c r="V439" s="18"/>
      <c r="AA439" s="18"/>
    </row>
    <row r="440" spans="17:27" x14ac:dyDescent="0.35">
      <c r="Q440" s="18"/>
      <c r="V440" s="18"/>
      <c r="AA440" s="18"/>
    </row>
    <row r="441" spans="17:27" x14ac:dyDescent="0.35">
      <c r="Q441" s="18"/>
      <c r="V441" s="18"/>
      <c r="AA441" s="18"/>
    </row>
    <row r="442" spans="17:27" x14ac:dyDescent="0.35">
      <c r="Q442" s="18"/>
      <c r="V442" s="18"/>
      <c r="AA442" s="18"/>
    </row>
    <row r="443" spans="17:27" x14ac:dyDescent="0.35">
      <c r="Q443" s="18"/>
      <c r="V443" s="18"/>
      <c r="AA443" s="18"/>
    </row>
    <row r="444" spans="17:27" x14ac:dyDescent="0.35">
      <c r="Q444" s="18"/>
      <c r="V444" s="18"/>
      <c r="AA444" s="18"/>
    </row>
    <row r="445" spans="17:27" x14ac:dyDescent="0.35">
      <c r="Q445" s="18"/>
      <c r="V445" s="18"/>
      <c r="AA445" s="18"/>
    </row>
    <row r="446" spans="17:27" x14ac:dyDescent="0.35">
      <c r="Q446" s="18"/>
      <c r="V446" s="18"/>
      <c r="AA446" s="18"/>
    </row>
    <row r="447" spans="17:27" x14ac:dyDescent="0.35">
      <c r="Q447" s="18"/>
      <c r="V447" s="18"/>
      <c r="AA447" s="18"/>
    </row>
    <row r="448" spans="17:27" x14ac:dyDescent="0.35">
      <c r="Q448" s="18"/>
      <c r="V448" s="18"/>
      <c r="AA448" s="18"/>
    </row>
    <row r="449" spans="17:27" x14ac:dyDescent="0.35">
      <c r="Q449" s="18"/>
      <c r="V449" s="18"/>
      <c r="AA449" s="18"/>
    </row>
    <row r="450" spans="17:27" x14ac:dyDescent="0.35">
      <c r="Q450" s="18"/>
      <c r="V450" s="18"/>
      <c r="AA450" s="18"/>
    </row>
    <row r="451" spans="17:27" x14ac:dyDescent="0.35">
      <c r="Q451" s="18"/>
      <c r="V451" s="18"/>
      <c r="AA451" s="18"/>
    </row>
    <row r="452" spans="17:27" x14ac:dyDescent="0.35">
      <c r="Q452" s="18"/>
      <c r="V452" s="18"/>
      <c r="AA452" s="18"/>
    </row>
    <row r="453" spans="17:27" x14ac:dyDescent="0.35">
      <c r="Q453" s="18"/>
      <c r="V453" s="18"/>
      <c r="AA453" s="18"/>
    </row>
    <row r="454" spans="17:27" x14ac:dyDescent="0.35">
      <c r="Q454" s="18"/>
      <c r="V454" s="18"/>
      <c r="AA454" s="18"/>
    </row>
    <row r="455" spans="17:27" x14ac:dyDescent="0.35">
      <c r="Q455" s="18"/>
      <c r="V455" s="18"/>
      <c r="AA455" s="18"/>
    </row>
    <row r="456" spans="17:27" x14ac:dyDescent="0.35">
      <c r="Q456" s="18"/>
      <c r="V456" s="18"/>
      <c r="AA456" s="18"/>
    </row>
    <row r="457" spans="17:27" x14ac:dyDescent="0.35">
      <c r="Q457" s="18"/>
      <c r="V457" s="18"/>
      <c r="AA457" s="18"/>
    </row>
    <row r="458" spans="17:27" x14ac:dyDescent="0.35">
      <c r="Q458" s="18"/>
      <c r="V458" s="18"/>
      <c r="AA458" s="18"/>
    </row>
    <row r="459" spans="17:27" x14ac:dyDescent="0.35">
      <c r="Q459" s="18"/>
      <c r="V459" s="18"/>
      <c r="AA459" s="18"/>
    </row>
    <row r="460" spans="17:27" x14ac:dyDescent="0.35">
      <c r="Q460" s="18"/>
      <c r="V460" s="18"/>
      <c r="AA460" s="18"/>
    </row>
    <row r="461" spans="17:27" x14ac:dyDescent="0.35">
      <c r="Q461" s="18"/>
      <c r="V461" s="18"/>
      <c r="AA461" s="18"/>
    </row>
    <row r="462" spans="17:27" x14ac:dyDescent="0.35">
      <c r="Q462" s="18"/>
      <c r="V462" s="18"/>
      <c r="AA462" s="18"/>
    </row>
    <row r="463" spans="17:27" x14ac:dyDescent="0.35">
      <c r="Q463" s="18"/>
      <c r="V463" s="18"/>
      <c r="AA463" s="18"/>
    </row>
    <row r="464" spans="17:27" x14ac:dyDescent="0.35">
      <c r="Q464" s="18"/>
      <c r="V464" s="18"/>
      <c r="AA464" s="18"/>
    </row>
    <row r="465" spans="17:27" x14ac:dyDescent="0.35">
      <c r="Q465" s="18"/>
      <c r="V465" s="18"/>
      <c r="AA465" s="18"/>
    </row>
    <row r="466" spans="17:27" x14ac:dyDescent="0.35">
      <c r="Q466" s="18"/>
      <c r="V466" s="18"/>
      <c r="AA466" s="18"/>
    </row>
    <row r="467" spans="17:27" x14ac:dyDescent="0.35">
      <c r="Q467" s="18"/>
      <c r="V467" s="18"/>
      <c r="AA467" s="18"/>
    </row>
    <row r="468" spans="17:27" x14ac:dyDescent="0.35">
      <c r="Q468" s="18"/>
      <c r="V468" s="18"/>
      <c r="AA468" s="18"/>
    </row>
    <row r="469" spans="17:27" x14ac:dyDescent="0.35">
      <c r="Q469" s="18"/>
      <c r="V469" s="18"/>
      <c r="AA469" s="18"/>
    </row>
    <row r="470" spans="17:27" x14ac:dyDescent="0.35">
      <c r="Q470" s="18"/>
      <c r="V470" s="18"/>
      <c r="AA470" s="18"/>
    </row>
    <row r="471" spans="17:27" x14ac:dyDescent="0.35">
      <c r="Q471" s="18"/>
      <c r="V471" s="18"/>
      <c r="AA471" s="18"/>
    </row>
    <row r="472" spans="17:27" x14ac:dyDescent="0.35">
      <c r="Q472" s="18"/>
      <c r="V472" s="18"/>
      <c r="AA472" s="18"/>
    </row>
    <row r="473" spans="17:27" x14ac:dyDescent="0.35">
      <c r="Q473" s="18"/>
      <c r="V473" s="18"/>
      <c r="AA473" s="18"/>
    </row>
    <row r="474" spans="17:27" x14ac:dyDescent="0.35">
      <c r="Q474" s="18"/>
      <c r="V474" s="18"/>
      <c r="AA474" s="18"/>
    </row>
    <row r="475" spans="17:27" x14ac:dyDescent="0.35">
      <c r="Q475" s="18"/>
      <c r="V475" s="18"/>
      <c r="AA475" s="18"/>
    </row>
    <row r="476" spans="17:27" x14ac:dyDescent="0.35">
      <c r="Q476" s="18"/>
      <c r="V476" s="18"/>
      <c r="AA476" s="18"/>
    </row>
    <row r="477" spans="17:27" x14ac:dyDescent="0.35">
      <c r="Q477" s="18"/>
      <c r="V477" s="18"/>
      <c r="AA477" s="18"/>
    </row>
    <row r="478" spans="17:27" x14ac:dyDescent="0.35">
      <c r="Q478" s="18"/>
      <c r="V478" s="18"/>
      <c r="AA478" s="18"/>
    </row>
    <row r="479" spans="17:27" x14ac:dyDescent="0.35">
      <c r="Q479" s="18"/>
      <c r="V479" s="18"/>
      <c r="AA479" s="18"/>
    </row>
    <row r="480" spans="17:27" x14ac:dyDescent="0.35">
      <c r="Q480" s="18"/>
      <c r="V480" s="18"/>
      <c r="AA480" s="18"/>
    </row>
    <row r="481" spans="17:27" x14ac:dyDescent="0.35">
      <c r="Q481" s="18"/>
      <c r="V481" s="18"/>
      <c r="AA481" s="18"/>
    </row>
    <row r="482" spans="17:27" x14ac:dyDescent="0.35">
      <c r="Q482" s="18"/>
      <c r="V482" s="18"/>
      <c r="AA482" s="18"/>
    </row>
    <row r="483" spans="17:27" x14ac:dyDescent="0.35">
      <c r="Q483" s="18"/>
      <c r="V483" s="18"/>
      <c r="AA483" s="18"/>
    </row>
    <row r="484" spans="17:27" x14ac:dyDescent="0.35">
      <c r="Q484" s="18"/>
      <c r="V484" s="18"/>
      <c r="AA484" s="18"/>
    </row>
    <row r="485" spans="17:27" x14ac:dyDescent="0.35">
      <c r="Q485" s="18"/>
      <c r="V485" s="18"/>
      <c r="AA485" s="18"/>
    </row>
    <row r="486" spans="17:27" x14ac:dyDescent="0.35">
      <c r="Q486" s="18"/>
      <c r="V486" s="18"/>
      <c r="AA486" s="18"/>
    </row>
    <row r="487" spans="17:27" x14ac:dyDescent="0.35">
      <c r="Q487" s="18"/>
      <c r="V487" s="18"/>
      <c r="AA487" s="18"/>
    </row>
    <row r="488" spans="17:27" x14ac:dyDescent="0.35">
      <c r="Q488" s="18"/>
      <c r="V488" s="18"/>
      <c r="AA488" s="18"/>
    </row>
    <row r="489" spans="17:27" x14ac:dyDescent="0.35">
      <c r="Q489" s="18"/>
      <c r="V489" s="18"/>
      <c r="AA489" s="18"/>
    </row>
    <row r="490" spans="17:27" x14ac:dyDescent="0.35">
      <c r="Q490" s="18"/>
      <c r="V490" s="18"/>
      <c r="AA490" s="18"/>
    </row>
    <row r="491" spans="17:27" x14ac:dyDescent="0.35">
      <c r="Q491" s="18"/>
      <c r="V491" s="18"/>
      <c r="AA491" s="18"/>
    </row>
    <row r="492" spans="17:27" x14ac:dyDescent="0.35">
      <c r="Q492" s="18"/>
      <c r="V492" s="18"/>
      <c r="AA492" s="18"/>
    </row>
    <row r="493" spans="17:27" x14ac:dyDescent="0.35">
      <c r="Q493" s="18"/>
      <c r="V493" s="18"/>
      <c r="AA493" s="18"/>
    </row>
    <row r="494" spans="17:27" x14ac:dyDescent="0.35">
      <c r="Q494" s="18"/>
      <c r="V494" s="18"/>
      <c r="AA494" s="18"/>
    </row>
    <row r="495" spans="17:27" x14ac:dyDescent="0.35">
      <c r="Q495" s="18"/>
      <c r="V495" s="18"/>
      <c r="AA495" s="18"/>
    </row>
    <row r="496" spans="17:27" x14ac:dyDescent="0.35">
      <c r="Q496" s="18"/>
      <c r="V496" s="18"/>
      <c r="AA496" s="18"/>
    </row>
    <row r="497" spans="17:27" x14ac:dyDescent="0.35">
      <c r="Q497" s="18"/>
      <c r="V497" s="18"/>
      <c r="AA497" s="18"/>
    </row>
    <row r="498" spans="17:27" x14ac:dyDescent="0.35">
      <c r="Q498" s="18"/>
      <c r="V498" s="18"/>
      <c r="AA498" s="18"/>
    </row>
    <row r="499" spans="17:27" x14ac:dyDescent="0.35">
      <c r="Q499" s="18"/>
      <c r="V499" s="18"/>
      <c r="AA499" s="18"/>
    </row>
    <row r="500" spans="17:27" x14ac:dyDescent="0.35">
      <c r="Q500" s="18"/>
      <c r="V500" s="18"/>
      <c r="AA500" s="18"/>
    </row>
    <row r="501" spans="17:27" x14ac:dyDescent="0.35">
      <c r="Q501" s="18"/>
      <c r="V501" s="18"/>
      <c r="AA501" s="18"/>
    </row>
    <row r="502" spans="17:27" x14ac:dyDescent="0.35">
      <c r="Q502" s="18"/>
      <c r="V502" s="18"/>
      <c r="AA502" s="18"/>
    </row>
    <row r="503" spans="17:27" x14ac:dyDescent="0.35">
      <c r="Q503" s="18"/>
      <c r="V503" s="18"/>
      <c r="AA503" s="18"/>
    </row>
    <row r="504" spans="17:27" x14ac:dyDescent="0.35">
      <c r="Q504" s="18"/>
      <c r="V504" s="18"/>
      <c r="AA504" s="18"/>
    </row>
    <row r="505" spans="17:27" x14ac:dyDescent="0.35">
      <c r="Q505" s="18"/>
      <c r="V505" s="18"/>
      <c r="AA505" s="18"/>
    </row>
    <row r="506" spans="17:27" x14ac:dyDescent="0.35">
      <c r="Q506" s="18"/>
      <c r="V506" s="18"/>
      <c r="AA506" s="18"/>
    </row>
    <row r="507" spans="17:27" x14ac:dyDescent="0.35">
      <c r="Q507" s="18"/>
      <c r="V507" s="18"/>
      <c r="AA507" s="18"/>
    </row>
    <row r="508" spans="17:27" x14ac:dyDescent="0.35">
      <c r="Q508" s="18"/>
      <c r="V508" s="18"/>
      <c r="AA508" s="18"/>
    </row>
    <row r="509" spans="17:27" x14ac:dyDescent="0.35">
      <c r="Q509" s="18"/>
      <c r="V509" s="18"/>
      <c r="AA509" s="18"/>
    </row>
    <row r="510" spans="17:27" x14ac:dyDescent="0.35">
      <c r="Q510" s="18"/>
      <c r="V510" s="18"/>
      <c r="AA510" s="18"/>
    </row>
    <row r="511" spans="17:27" x14ac:dyDescent="0.35">
      <c r="Q511" s="18"/>
      <c r="V511" s="18"/>
      <c r="AA511" s="18"/>
    </row>
    <row r="512" spans="17:27" x14ac:dyDescent="0.35">
      <c r="Q512" s="18"/>
      <c r="V512" s="18"/>
      <c r="AA512" s="18"/>
    </row>
    <row r="513" spans="17:27" x14ac:dyDescent="0.35">
      <c r="Q513" s="18"/>
      <c r="V513" s="18"/>
      <c r="AA513" s="18"/>
    </row>
    <row r="514" spans="17:27" x14ac:dyDescent="0.35">
      <c r="Q514" s="18"/>
      <c r="V514" s="18"/>
      <c r="AA514" s="18"/>
    </row>
    <row r="515" spans="17:27" x14ac:dyDescent="0.35">
      <c r="Q515" s="18"/>
      <c r="V515" s="18"/>
      <c r="AA515" s="18"/>
    </row>
    <row r="516" spans="17:27" x14ac:dyDescent="0.35">
      <c r="Q516" s="18"/>
      <c r="V516" s="18"/>
      <c r="AA516" s="18"/>
    </row>
    <row r="517" spans="17:27" x14ac:dyDescent="0.35">
      <c r="Q517" s="18"/>
      <c r="V517" s="18"/>
      <c r="AA517" s="18"/>
    </row>
    <row r="518" spans="17:27" x14ac:dyDescent="0.35">
      <c r="Q518" s="18"/>
      <c r="V518" s="18"/>
      <c r="AA518" s="18"/>
    </row>
    <row r="519" spans="17:27" x14ac:dyDescent="0.35">
      <c r="Q519" s="18"/>
      <c r="V519" s="18"/>
      <c r="AA519" s="18"/>
    </row>
    <row r="520" spans="17:27" x14ac:dyDescent="0.35">
      <c r="Q520" s="18"/>
      <c r="V520" s="18"/>
      <c r="AA520" s="18"/>
    </row>
    <row r="521" spans="17:27" x14ac:dyDescent="0.35">
      <c r="Q521" s="18"/>
      <c r="V521" s="18"/>
      <c r="AA521" s="18"/>
    </row>
    <row r="522" spans="17:27" x14ac:dyDescent="0.35">
      <c r="Q522" s="18"/>
      <c r="V522" s="18"/>
      <c r="AA522" s="18"/>
    </row>
    <row r="523" spans="17:27" x14ac:dyDescent="0.35">
      <c r="Q523" s="18"/>
      <c r="V523" s="18"/>
      <c r="AA523" s="18"/>
    </row>
    <row r="524" spans="17:27" x14ac:dyDescent="0.35">
      <c r="Q524" s="18"/>
      <c r="V524" s="18"/>
      <c r="AA524" s="18"/>
    </row>
    <row r="525" spans="17:27" x14ac:dyDescent="0.35">
      <c r="Q525" s="18"/>
      <c r="V525" s="18"/>
      <c r="AA525" s="18"/>
    </row>
    <row r="526" spans="17:27" x14ac:dyDescent="0.35">
      <c r="Q526" s="18"/>
      <c r="V526" s="18"/>
      <c r="AA526" s="18"/>
    </row>
    <row r="527" spans="17:27" x14ac:dyDescent="0.35">
      <c r="Q527" s="18"/>
      <c r="V527" s="18"/>
      <c r="AA527" s="18"/>
    </row>
    <row r="528" spans="17:27" x14ac:dyDescent="0.35">
      <c r="Q528" s="18"/>
      <c r="V528" s="18"/>
      <c r="AA528" s="18"/>
    </row>
    <row r="529" spans="17:27" x14ac:dyDescent="0.35">
      <c r="Q529" s="18"/>
      <c r="V529" s="18"/>
      <c r="AA529" s="18"/>
    </row>
    <row r="530" spans="17:27" x14ac:dyDescent="0.35">
      <c r="Q530" s="18"/>
      <c r="V530" s="18"/>
      <c r="AA530" s="18"/>
    </row>
    <row r="531" spans="17:27" x14ac:dyDescent="0.35">
      <c r="Q531" s="18"/>
      <c r="V531" s="18"/>
      <c r="AA531" s="18"/>
    </row>
    <row r="532" spans="17:27" x14ac:dyDescent="0.35">
      <c r="Q532" s="18"/>
      <c r="V532" s="18"/>
      <c r="AA532" s="18"/>
    </row>
    <row r="533" spans="17:27" x14ac:dyDescent="0.35">
      <c r="Q533" s="18"/>
      <c r="V533" s="18"/>
      <c r="AA533" s="18"/>
    </row>
    <row r="534" spans="17:27" x14ac:dyDescent="0.35">
      <c r="Q534" s="18"/>
      <c r="V534" s="18"/>
      <c r="AA534" s="18"/>
    </row>
    <row r="535" spans="17:27" x14ac:dyDescent="0.35">
      <c r="Q535" s="18"/>
      <c r="V535" s="18"/>
      <c r="AA535" s="18"/>
    </row>
    <row r="536" spans="17:27" x14ac:dyDescent="0.35">
      <c r="Q536" s="18"/>
      <c r="V536" s="18"/>
      <c r="AA536" s="18"/>
    </row>
    <row r="537" spans="17:27" x14ac:dyDescent="0.35">
      <c r="Q537" s="18"/>
      <c r="V537" s="18"/>
      <c r="AA537" s="18"/>
    </row>
    <row r="538" spans="17:27" x14ac:dyDescent="0.35">
      <c r="Q538" s="18"/>
      <c r="V538" s="18"/>
      <c r="AA538" s="18"/>
    </row>
    <row r="539" spans="17:27" x14ac:dyDescent="0.35">
      <c r="Q539" s="18"/>
      <c r="V539" s="18"/>
      <c r="AA539" s="18"/>
    </row>
    <row r="540" spans="17:27" x14ac:dyDescent="0.35">
      <c r="Q540" s="18"/>
      <c r="V540" s="18"/>
      <c r="AA540" s="18"/>
    </row>
    <row r="541" spans="17:27" x14ac:dyDescent="0.35">
      <c r="Q541" s="18"/>
      <c r="V541" s="18"/>
      <c r="AA541" s="18"/>
    </row>
    <row r="542" spans="17:27" x14ac:dyDescent="0.35">
      <c r="Q542" s="18"/>
      <c r="V542" s="18"/>
      <c r="AA542" s="18"/>
    </row>
    <row r="543" spans="17:27" x14ac:dyDescent="0.35">
      <c r="Q543" s="18"/>
      <c r="V543" s="18"/>
      <c r="AA543" s="18"/>
    </row>
    <row r="544" spans="17:27" x14ac:dyDescent="0.35">
      <c r="Q544" s="18"/>
      <c r="V544" s="18"/>
      <c r="AA544" s="18"/>
    </row>
    <row r="545" spans="17:27" x14ac:dyDescent="0.35">
      <c r="Q545" s="18"/>
      <c r="V545" s="18"/>
      <c r="AA545" s="18"/>
    </row>
    <row r="546" spans="17:27" x14ac:dyDescent="0.35">
      <c r="Q546" s="18"/>
      <c r="V546" s="18"/>
      <c r="AA546" s="18"/>
    </row>
    <row r="547" spans="17:27" x14ac:dyDescent="0.35">
      <c r="Q547" s="18"/>
      <c r="V547" s="18"/>
      <c r="AA547" s="18"/>
    </row>
    <row r="548" spans="17:27" x14ac:dyDescent="0.35">
      <c r="Q548" s="18"/>
      <c r="V548" s="18"/>
      <c r="AA548" s="18"/>
    </row>
    <row r="549" spans="17:27" x14ac:dyDescent="0.35">
      <c r="Q549" s="18"/>
      <c r="V549" s="18"/>
      <c r="AA549" s="18"/>
    </row>
    <row r="550" spans="17:27" x14ac:dyDescent="0.35">
      <c r="Q550" s="18"/>
      <c r="V550" s="18"/>
      <c r="AA550" s="18"/>
    </row>
    <row r="551" spans="17:27" x14ac:dyDescent="0.35">
      <c r="Q551" s="18"/>
      <c r="V551" s="18"/>
      <c r="AA551" s="18"/>
    </row>
    <row r="552" spans="17:27" x14ac:dyDescent="0.35">
      <c r="Q552" s="18"/>
      <c r="V552" s="18"/>
      <c r="AA552" s="18"/>
    </row>
    <row r="553" spans="17:27" x14ac:dyDescent="0.35">
      <c r="Q553" s="18"/>
      <c r="V553" s="18"/>
      <c r="AA553" s="18"/>
    </row>
    <row r="554" spans="17:27" x14ac:dyDescent="0.35">
      <c r="Q554" s="18"/>
      <c r="V554" s="18"/>
      <c r="AA554" s="18"/>
    </row>
    <row r="555" spans="17:27" x14ac:dyDescent="0.35">
      <c r="Q555" s="18"/>
      <c r="V555" s="18"/>
      <c r="AA555" s="18"/>
    </row>
    <row r="556" spans="17:27" x14ac:dyDescent="0.35">
      <c r="Q556" s="18"/>
      <c r="V556" s="18"/>
      <c r="AA556" s="18"/>
    </row>
    <row r="557" spans="17:27" x14ac:dyDescent="0.35">
      <c r="Q557" s="18"/>
      <c r="V557" s="18"/>
      <c r="AA557" s="18"/>
    </row>
    <row r="558" spans="17:27" x14ac:dyDescent="0.35">
      <c r="Q558" s="18"/>
      <c r="V558" s="18"/>
      <c r="AA558" s="18"/>
    </row>
    <row r="559" spans="17:27" x14ac:dyDescent="0.35">
      <c r="Q559" s="18"/>
      <c r="V559" s="18"/>
      <c r="AA559" s="18"/>
    </row>
    <row r="560" spans="17:27" x14ac:dyDescent="0.35">
      <c r="Q560" s="18"/>
      <c r="V560" s="18"/>
      <c r="AA560" s="18"/>
    </row>
    <row r="561" spans="17:27" x14ac:dyDescent="0.35">
      <c r="Q561" s="18"/>
      <c r="V561" s="18"/>
      <c r="AA561" s="18"/>
    </row>
    <row r="562" spans="17:27" x14ac:dyDescent="0.35">
      <c r="Q562" s="18"/>
      <c r="V562" s="18"/>
      <c r="AA562" s="18"/>
    </row>
    <row r="563" spans="17:27" x14ac:dyDescent="0.35">
      <c r="Q563" s="18"/>
      <c r="V563" s="18"/>
      <c r="AA563" s="18"/>
    </row>
    <row r="564" spans="17:27" x14ac:dyDescent="0.35">
      <c r="Q564" s="18"/>
      <c r="V564" s="18"/>
      <c r="AA564" s="18"/>
    </row>
    <row r="565" spans="17:27" x14ac:dyDescent="0.35">
      <c r="Q565" s="18"/>
      <c r="V565" s="18"/>
      <c r="AA565" s="18"/>
    </row>
    <row r="566" spans="17:27" x14ac:dyDescent="0.35">
      <c r="Q566" s="18"/>
      <c r="V566" s="18"/>
      <c r="AA566" s="18"/>
    </row>
    <row r="567" spans="17:27" x14ac:dyDescent="0.35">
      <c r="Q567" s="18"/>
      <c r="V567" s="18"/>
      <c r="AA567" s="18"/>
    </row>
    <row r="568" spans="17:27" x14ac:dyDescent="0.35">
      <c r="Q568" s="18"/>
      <c r="V568" s="18"/>
      <c r="AA568" s="18"/>
    </row>
    <row r="569" spans="17:27" x14ac:dyDescent="0.35">
      <c r="Q569" s="18"/>
      <c r="V569" s="18"/>
      <c r="AA569" s="18"/>
    </row>
    <row r="570" spans="17:27" x14ac:dyDescent="0.35">
      <c r="Q570" s="18"/>
      <c r="V570" s="18"/>
      <c r="AA570" s="18"/>
    </row>
    <row r="571" spans="17:27" x14ac:dyDescent="0.35">
      <c r="Q571" s="18"/>
      <c r="V571" s="18"/>
      <c r="AA571" s="18"/>
    </row>
    <row r="572" spans="17:27" x14ac:dyDescent="0.35">
      <c r="Q572" s="18"/>
      <c r="V572" s="18"/>
      <c r="AA572" s="18"/>
    </row>
    <row r="573" spans="17:27" x14ac:dyDescent="0.35">
      <c r="Q573" s="18"/>
      <c r="V573" s="18"/>
      <c r="AA573" s="18"/>
    </row>
    <row r="574" spans="17:27" x14ac:dyDescent="0.35">
      <c r="Q574" s="18"/>
      <c r="V574" s="18"/>
      <c r="AA574" s="18"/>
    </row>
    <row r="575" spans="17:27" x14ac:dyDescent="0.35">
      <c r="Q575" s="18"/>
      <c r="V575" s="18"/>
      <c r="AA575" s="18"/>
    </row>
    <row r="576" spans="17:27" x14ac:dyDescent="0.35">
      <c r="Q576" s="18"/>
      <c r="V576" s="18"/>
      <c r="AA576" s="18"/>
    </row>
    <row r="577" spans="17:27" x14ac:dyDescent="0.35">
      <c r="Q577" s="18"/>
      <c r="V577" s="18"/>
      <c r="AA577" s="18"/>
    </row>
    <row r="578" spans="17:27" x14ac:dyDescent="0.35">
      <c r="Q578" s="18"/>
      <c r="V578" s="18"/>
      <c r="AA578" s="18"/>
    </row>
    <row r="579" spans="17:27" x14ac:dyDescent="0.35">
      <c r="Q579" s="18"/>
      <c r="V579" s="18"/>
      <c r="AA579" s="18"/>
    </row>
    <row r="580" spans="17:27" x14ac:dyDescent="0.35">
      <c r="Q580" s="18"/>
      <c r="V580" s="18"/>
      <c r="AA580" s="18"/>
    </row>
    <row r="581" spans="17:27" x14ac:dyDescent="0.35">
      <c r="Q581" s="18"/>
      <c r="V581" s="18"/>
      <c r="AA581" s="18"/>
    </row>
    <row r="582" spans="17:27" x14ac:dyDescent="0.35">
      <c r="Q582" s="18"/>
      <c r="V582" s="18"/>
      <c r="AA582" s="18"/>
    </row>
    <row r="583" spans="17:27" x14ac:dyDescent="0.35">
      <c r="Q583" s="18"/>
      <c r="V583" s="18"/>
      <c r="AA583" s="18"/>
    </row>
    <row r="584" spans="17:27" x14ac:dyDescent="0.35">
      <c r="Q584" s="18"/>
      <c r="V584" s="18"/>
      <c r="AA584" s="18"/>
    </row>
    <row r="585" spans="17:27" x14ac:dyDescent="0.35">
      <c r="Q585" s="18"/>
      <c r="V585" s="18"/>
      <c r="AA585" s="18"/>
    </row>
    <row r="586" spans="17:27" x14ac:dyDescent="0.35">
      <c r="Q586" s="18"/>
      <c r="V586" s="18"/>
      <c r="AA586" s="18"/>
    </row>
    <row r="587" spans="17:27" x14ac:dyDescent="0.35">
      <c r="Q587" s="18"/>
      <c r="V587" s="18"/>
      <c r="AA587" s="18"/>
    </row>
    <row r="588" spans="17:27" x14ac:dyDescent="0.35">
      <c r="Q588" s="18"/>
      <c r="V588" s="18"/>
      <c r="AA588" s="18"/>
    </row>
    <row r="589" spans="17:27" x14ac:dyDescent="0.35">
      <c r="Q589" s="18"/>
      <c r="V589" s="18"/>
      <c r="AA589" s="18"/>
    </row>
    <row r="590" spans="17:27" x14ac:dyDescent="0.35">
      <c r="Q590" s="18"/>
      <c r="V590" s="18"/>
      <c r="AA590" s="18"/>
    </row>
    <row r="591" spans="17:27" x14ac:dyDescent="0.35">
      <c r="Q591" s="18"/>
      <c r="V591" s="18"/>
      <c r="AA591" s="18"/>
    </row>
    <row r="592" spans="17:27" x14ac:dyDescent="0.35">
      <c r="Q592" s="18"/>
      <c r="V592" s="18"/>
      <c r="AA592" s="18"/>
    </row>
    <row r="593" spans="17:27" x14ac:dyDescent="0.35">
      <c r="Q593" s="18"/>
      <c r="V593" s="18"/>
      <c r="AA593" s="18"/>
    </row>
    <row r="594" spans="17:27" x14ac:dyDescent="0.35">
      <c r="Q594" s="18"/>
      <c r="V594" s="18"/>
      <c r="AA594" s="18"/>
    </row>
    <row r="595" spans="17:27" x14ac:dyDescent="0.35">
      <c r="Q595" s="18"/>
      <c r="V595" s="18"/>
      <c r="AA595" s="18"/>
    </row>
    <row r="596" spans="17:27" x14ac:dyDescent="0.35">
      <c r="Q596" s="18"/>
      <c r="V596" s="18"/>
      <c r="AA596" s="18"/>
    </row>
    <row r="597" spans="17:27" x14ac:dyDescent="0.35">
      <c r="Q597" s="18"/>
      <c r="V597" s="18"/>
      <c r="AA597" s="18"/>
    </row>
    <row r="598" spans="17:27" x14ac:dyDescent="0.35">
      <c r="Q598" s="18"/>
      <c r="V598" s="18"/>
      <c r="AA598" s="18"/>
    </row>
    <row r="599" spans="17:27" x14ac:dyDescent="0.35">
      <c r="Q599" s="18"/>
      <c r="V599" s="18"/>
      <c r="AA599" s="18"/>
    </row>
    <row r="600" spans="17:27" x14ac:dyDescent="0.35">
      <c r="Q600" s="18"/>
      <c r="V600" s="18"/>
      <c r="AA600" s="18"/>
    </row>
    <row r="601" spans="17:27" x14ac:dyDescent="0.35">
      <c r="Q601" s="18"/>
      <c r="V601" s="18"/>
      <c r="AA601" s="18"/>
    </row>
    <row r="602" spans="17:27" x14ac:dyDescent="0.35">
      <c r="Q602" s="18"/>
      <c r="V602" s="18"/>
      <c r="AA602" s="18"/>
    </row>
    <row r="603" spans="17:27" x14ac:dyDescent="0.35">
      <c r="Q603" s="18"/>
      <c r="V603" s="18"/>
      <c r="AA603" s="18"/>
    </row>
    <row r="604" spans="17:27" x14ac:dyDescent="0.35">
      <c r="Q604" s="18"/>
      <c r="V604" s="18"/>
      <c r="AA604" s="18"/>
    </row>
    <row r="605" spans="17:27" x14ac:dyDescent="0.35">
      <c r="Q605" s="18"/>
      <c r="V605" s="18"/>
      <c r="AA605" s="18"/>
    </row>
    <row r="606" spans="17:27" x14ac:dyDescent="0.35">
      <c r="Q606" s="18"/>
      <c r="V606" s="18"/>
      <c r="AA606" s="18"/>
    </row>
    <row r="607" spans="17:27" x14ac:dyDescent="0.35">
      <c r="Q607" s="18"/>
      <c r="V607" s="18"/>
      <c r="AA607" s="18"/>
    </row>
    <row r="608" spans="17:27" x14ac:dyDescent="0.35">
      <c r="Q608" s="18"/>
      <c r="V608" s="18"/>
      <c r="AA608" s="18"/>
    </row>
    <row r="609" spans="17:27" x14ac:dyDescent="0.35">
      <c r="Q609" s="18"/>
      <c r="V609" s="18"/>
      <c r="AA609" s="18"/>
    </row>
    <row r="610" spans="17:27" x14ac:dyDescent="0.35">
      <c r="Q610" s="18"/>
      <c r="V610" s="18"/>
      <c r="AA610" s="18"/>
    </row>
    <row r="611" spans="17:27" x14ac:dyDescent="0.35">
      <c r="Q611" s="18"/>
      <c r="V611" s="18"/>
      <c r="AA611" s="18"/>
    </row>
    <row r="612" spans="17:27" x14ac:dyDescent="0.35">
      <c r="Q612" s="18"/>
      <c r="V612" s="18"/>
      <c r="AA612" s="18"/>
    </row>
    <row r="613" spans="17:27" x14ac:dyDescent="0.35">
      <c r="Q613" s="18"/>
      <c r="V613" s="18"/>
      <c r="AA613" s="18"/>
    </row>
    <row r="614" spans="17:27" x14ac:dyDescent="0.35">
      <c r="Q614" s="18"/>
      <c r="V614" s="18"/>
      <c r="AA614" s="18"/>
    </row>
    <row r="615" spans="17:27" x14ac:dyDescent="0.35">
      <c r="Q615" s="18"/>
      <c r="V615" s="18"/>
      <c r="AA615" s="18"/>
    </row>
    <row r="616" spans="17:27" x14ac:dyDescent="0.35">
      <c r="Q616" s="18"/>
      <c r="V616" s="18"/>
      <c r="AA616" s="18"/>
    </row>
    <row r="617" spans="17:27" x14ac:dyDescent="0.35">
      <c r="Q617" s="18"/>
      <c r="V617" s="18"/>
      <c r="AA617" s="18"/>
    </row>
    <row r="618" spans="17:27" x14ac:dyDescent="0.35">
      <c r="Q618" s="18"/>
      <c r="V618" s="18"/>
      <c r="AA618" s="18"/>
    </row>
    <row r="619" spans="17:27" x14ac:dyDescent="0.35">
      <c r="Q619" s="18"/>
      <c r="V619" s="18"/>
      <c r="AA619" s="18"/>
    </row>
    <row r="620" spans="17:27" x14ac:dyDescent="0.35">
      <c r="Q620" s="18"/>
      <c r="V620" s="18"/>
      <c r="AA620" s="18"/>
    </row>
    <row r="621" spans="17:27" x14ac:dyDescent="0.35">
      <c r="Q621" s="18"/>
      <c r="V621" s="18"/>
      <c r="AA621" s="18"/>
    </row>
    <row r="622" spans="17:27" x14ac:dyDescent="0.35">
      <c r="Q622" s="18"/>
      <c r="V622" s="18"/>
      <c r="AA622" s="18"/>
    </row>
    <row r="623" spans="17:27" x14ac:dyDescent="0.35">
      <c r="Q623" s="18"/>
      <c r="V623" s="18"/>
      <c r="AA623" s="18"/>
    </row>
    <row r="624" spans="17:27" x14ac:dyDescent="0.35">
      <c r="Q624" s="18"/>
      <c r="V624" s="18"/>
      <c r="AA624" s="18"/>
    </row>
    <row r="625" spans="17:27" x14ac:dyDescent="0.35">
      <c r="Q625" s="18"/>
      <c r="V625" s="18"/>
      <c r="AA625" s="18"/>
    </row>
    <row r="626" spans="17:27" x14ac:dyDescent="0.35">
      <c r="Q626" s="18"/>
      <c r="V626" s="18"/>
      <c r="AA626" s="18"/>
    </row>
    <row r="627" spans="17:27" x14ac:dyDescent="0.35">
      <c r="Q627" s="18"/>
      <c r="V627" s="18"/>
      <c r="AA627" s="18"/>
    </row>
    <row r="628" spans="17:27" x14ac:dyDescent="0.35">
      <c r="Q628" s="18"/>
      <c r="V628" s="18"/>
      <c r="AA628" s="18"/>
    </row>
    <row r="629" spans="17:27" x14ac:dyDescent="0.35">
      <c r="Q629" s="18"/>
      <c r="V629" s="18"/>
      <c r="AA629" s="18"/>
    </row>
    <row r="630" spans="17:27" x14ac:dyDescent="0.35">
      <c r="Q630" s="18"/>
      <c r="V630" s="18"/>
      <c r="AA630" s="18"/>
    </row>
    <row r="631" spans="17:27" x14ac:dyDescent="0.35">
      <c r="Q631" s="18"/>
      <c r="V631" s="18"/>
      <c r="AA631" s="18"/>
    </row>
    <row r="632" spans="17:27" x14ac:dyDescent="0.35">
      <c r="Q632" s="18"/>
      <c r="V632" s="18"/>
      <c r="AA632" s="18"/>
    </row>
    <row r="633" spans="17:27" x14ac:dyDescent="0.35">
      <c r="Q633" s="18"/>
      <c r="V633" s="18"/>
      <c r="AA633" s="18"/>
    </row>
    <row r="634" spans="17:27" x14ac:dyDescent="0.35">
      <c r="Q634" s="18"/>
      <c r="V634" s="18"/>
      <c r="AA634" s="18"/>
    </row>
    <row r="635" spans="17:27" x14ac:dyDescent="0.35">
      <c r="Q635" s="18"/>
      <c r="V635" s="18"/>
      <c r="AA635" s="18"/>
    </row>
    <row r="636" spans="17:27" x14ac:dyDescent="0.35">
      <c r="Q636" s="18"/>
      <c r="V636" s="18"/>
      <c r="AA636" s="18"/>
    </row>
    <row r="637" spans="17:27" x14ac:dyDescent="0.35">
      <c r="Q637" s="18"/>
      <c r="V637" s="18"/>
      <c r="AA637" s="18"/>
    </row>
    <row r="638" spans="17:27" x14ac:dyDescent="0.35">
      <c r="Q638" s="18"/>
      <c r="V638" s="18"/>
      <c r="AA638" s="18"/>
    </row>
    <row r="639" spans="17:27" x14ac:dyDescent="0.35">
      <c r="Q639" s="18"/>
      <c r="V639" s="18"/>
      <c r="AA639" s="18"/>
    </row>
    <row r="640" spans="17:27" x14ac:dyDescent="0.35">
      <c r="Q640" s="18"/>
      <c r="V640" s="18"/>
      <c r="AA640" s="18"/>
    </row>
    <row r="641" spans="17:27" x14ac:dyDescent="0.35">
      <c r="Q641" s="18"/>
      <c r="V641" s="18"/>
      <c r="AA641" s="18"/>
    </row>
    <row r="642" spans="17:27" x14ac:dyDescent="0.35">
      <c r="Q642" s="18"/>
      <c r="V642" s="18"/>
      <c r="AA642" s="18"/>
    </row>
    <row r="643" spans="17:27" x14ac:dyDescent="0.35">
      <c r="Q643" s="18"/>
      <c r="V643" s="18"/>
      <c r="AA643" s="18"/>
    </row>
    <row r="644" spans="17:27" x14ac:dyDescent="0.35">
      <c r="Q644" s="18"/>
      <c r="V644" s="18"/>
      <c r="AA644" s="18"/>
    </row>
    <row r="645" spans="17:27" x14ac:dyDescent="0.35">
      <c r="Q645" s="18"/>
      <c r="V645" s="18"/>
      <c r="AA645" s="18"/>
    </row>
    <row r="646" spans="17:27" x14ac:dyDescent="0.35">
      <c r="Q646" s="18"/>
      <c r="V646" s="18"/>
      <c r="AA646" s="18"/>
    </row>
    <row r="647" spans="17:27" x14ac:dyDescent="0.35">
      <c r="Q647" s="18"/>
      <c r="V647" s="18"/>
      <c r="AA647" s="18"/>
    </row>
    <row r="648" spans="17:27" x14ac:dyDescent="0.35">
      <c r="Q648" s="18"/>
      <c r="V648" s="18"/>
      <c r="AA648" s="18"/>
    </row>
    <row r="649" spans="17:27" x14ac:dyDescent="0.35">
      <c r="Q649" s="18"/>
      <c r="V649" s="18"/>
      <c r="AA649" s="18"/>
    </row>
    <row r="650" spans="17:27" x14ac:dyDescent="0.35">
      <c r="Q650" s="18"/>
      <c r="V650" s="18"/>
      <c r="AA650" s="18"/>
    </row>
    <row r="651" spans="17:27" x14ac:dyDescent="0.35">
      <c r="Q651" s="18"/>
      <c r="V651" s="18"/>
      <c r="AA651" s="18"/>
    </row>
    <row r="652" spans="17:27" x14ac:dyDescent="0.35">
      <c r="Q652" s="18"/>
      <c r="V652" s="18"/>
      <c r="AA652" s="18"/>
    </row>
    <row r="653" spans="17:27" x14ac:dyDescent="0.35">
      <c r="Q653" s="18"/>
      <c r="V653" s="18"/>
      <c r="AA653" s="18"/>
    </row>
    <row r="654" spans="17:27" x14ac:dyDescent="0.35">
      <c r="Q654" s="18"/>
      <c r="V654" s="18"/>
      <c r="AA654" s="18"/>
    </row>
    <row r="655" spans="17:27" x14ac:dyDescent="0.35">
      <c r="Q655" s="18"/>
      <c r="V655" s="18"/>
      <c r="AA655" s="18"/>
    </row>
    <row r="656" spans="17:27" x14ac:dyDescent="0.35">
      <c r="Q656" s="18"/>
      <c r="V656" s="18"/>
      <c r="AA656" s="18"/>
    </row>
    <row r="657" spans="17:27" x14ac:dyDescent="0.35">
      <c r="Q657" s="18"/>
      <c r="V657" s="18"/>
      <c r="AA657" s="18"/>
    </row>
    <row r="658" spans="17:27" x14ac:dyDescent="0.35">
      <c r="Q658" s="18"/>
      <c r="V658" s="18"/>
      <c r="AA658" s="18"/>
    </row>
    <row r="659" spans="17:27" x14ac:dyDescent="0.35">
      <c r="Q659" s="18"/>
      <c r="V659" s="18"/>
      <c r="AA659" s="18"/>
    </row>
    <row r="660" spans="17:27" x14ac:dyDescent="0.35">
      <c r="Q660" s="18"/>
      <c r="V660" s="18"/>
      <c r="AA660" s="18"/>
    </row>
    <row r="661" spans="17:27" x14ac:dyDescent="0.35">
      <c r="Q661" s="18"/>
      <c r="V661" s="18"/>
      <c r="AA661" s="18"/>
    </row>
    <row r="662" spans="17:27" x14ac:dyDescent="0.35">
      <c r="Q662" s="18"/>
      <c r="V662" s="18"/>
      <c r="AA662" s="18"/>
    </row>
    <row r="663" spans="17:27" x14ac:dyDescent="0.35">
      <c r="Q663" s="18"/>
      <c r="V663" s="18"/>
      <c r="AA663" s="18"/>
    </row>
  </sheetData>
  <sheetProtection formatCells="0" sort="0" autoFilter="0"/>
  <mergeCells count="10">
    <mergeCell ref="B1:AC1"/>
    <mergeCell ref="B2:H2"/>
    <mergeCell ref="F6:H6"/>
    <mergeCell ref="I6:L6"/>
    <mergeCell ref="M6:P6"/>
    <mergeCell ref="Q6:U6"/>
    <mergeCell ref="V6:Z6"/>
    <mergeCell ref="AA6:AC6"/>
    <mergeCell ref="B6:E6"/>
    <mergeCell ref="D4:E4"/>
  </mergeCells>
  <conditionalFormatting sqref="C4 F4">
    <cfRule type="iconSet" priority="8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F8:F18">
    <cfRule type="containsText" dxfId="10" priority="1" operator="containsText" text="⛔️">
      <formula>NOT(ISERROR(SEARCH("⛔️",F8)))</formula>
    </cfRule>
    <cfRule type="containsText" dxfId="9" priority="2" operator="containsText" text="⚠️">
      <formula>NOT(ISERROR(SEARCH("⚠️",F8)))</formula>
    </cfRule>
    <cfRule type="containsText" dxfId="8" priority="3" operator="containsText" text="✅">
      <formula>NOT(ISERROR(SEARCH("✅",F8)))</formula>
    </cfRule>
  </conditionalFormatting>
  <conditionalFormatting sqref="H4">
    <cfRule type="iconSet" priority="7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8:H18">
    <cfRule type="containsText" dxfId="7" priority="13" operator="containsText" text="Cas à justifier">
      <formula>NOT(ISERROR(SEARCH("Cas à justifier",H8)))</formula>
    </cfRule>
  </conditionalFormatting>
  <conditionalFormatting sqref="AB8:AB18">
    <cfRule type="containsText" dxfId="6" priority="14" operator="containsText" text="Examen expiré">
      <formula>NOT(ISERROR(SEARCH("Examen expiré",AB8)))</formula>
    </cfRule>
  </conditionalFormatting>
  <pageMargins left="0.7" right="0.7" top="0.75" bottom="0.75" header="0.3" footer="0.3"/>
  <pageSetup paperSize="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686"/>
  <sheetViews>
    <sheetView zoomScale="50" zoomScaleNormal="50" workbookViewId="0">
      <pane xSplit="8" ySplit="7" topLeftCell="I19" activePane="bottomRight" state="frozen"/>
      <selection pane="topRight" activeCell="C1" sqref="C1"/>
      <selection pane="bottomLeft" activeCell="A10" sqref="A10"/>
      <selection pane="bottomRight" activeCell="B7" sqref="B7"/>
    </sheetView>
  </sheetViews>
  <sheetFormatPr defaultColWidth="10.7265625" defaultRowHeight="15.5" x14ac:dyDescent="0.35"/>
  <cols>
    <col min="1" max="1" width="7.54296875" style="18" customWidth="1"/>
    <col min="2" max="2" width="19.453125" style="18" customWidth="1"/>
    <col min="3" max="3" width="13.54296875" style="18" customWidth="1"/>
    <col min="4" max="4" width="15" style="18" customWidth="1"/>
    <col min="5" max="5" width="18.1796875" style="18" customWidth="1"/>
    <col min="6" max="6" width="12" style="18" customWidth="1"/>
    <col min="7" max="7" width="14.453125" style="18" customWidth="1"/>
    <col min="8" max="8" width="20.7265625" style="23" customWidth="1"/>
    <col min="9" max="9" width="14.54296875" style="18" customWidth="1"/>
    <col min="10" max="10" width="10.54296875" style="82" customWidth="1"/>
    <col min="11" max="11" width="8.81640625" style="82" customWidth="1"/>
    <col min="12" max="12" width="10" style="82" customWidth="1"/>
    <col min="13" max="13" width="22.54296875" style="18" customWidth="1"/>
    <col min="14" max="14" width="20.26953125" style="18" customWidth="1"/>
    <col min="15" max="15" width="25.54296875" style="18" customWidth="1"/>
    <col min="16" max="16" width="19.1796875" style="24" customWidth="1"/>
    <col min="17" max="17" width="18.81640625" style="18" customWidth="1"/>
    <col min="18" max="18" width="16.81640625" style="82" customWidth="1"/>
    <col min="19" max="19" width="18.81640625" style="18" customWidth="1"/>
    <col min="20" max="20" width="23.453125" style="18" customWidth="1"/>
    <col min="21" max="21" width="16.26953125" style="25" customWidth="1"/>
    <col min="22" max="22" width="20.81640625" style="18" customWidth="1"/>
    <col min="23" max="23" width="15.453125" style="82" customWidth="1"/>
    <col min="24" max="24" width="19.54296875" style="18" customWidth="1"/>
    <col min="25" max="25" width="23.7265625" style="18" customWidth="1"/>
    <col min="26" max="26" width="25" style="26" customWidth="1"/>
    <col min="27" max="27" width="17.81640625" style="18" customWidth="1"/>
    <col min="28" max="28" width="22.81640625" style="18" customWidth="1"/>
    <col min="29" max="29" width="22.26953125" style="18" customWidth="1"/>
    <col min="30" max="30" width="24.453125" style="18" customWidth="1"/>
    <col min="31" max="31" width="22.7265625" style="18" customWidth="1"/>
    <col min="32" max="32" width="24.54296875" style="18" customWidth="1"/>
    <col min="33" max="33" width="24.7265625" style="18" customWidth="1"/>
    <col min="34" max="16384" width="10.7265625" style="18"/>
  </cols>
  <sheetData>
    <row r="1" spans="2:33" ht="8.15" customHeight="1" thickBot="1" x14ac:dyDescent="0.4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2:33" ht="41.15" customHeight="1" x14ac:dyDescent="0.35">
      <c r="B2" s="183" t="s">
        <v>481</v>
      </c>
      <c r="C2" s="184"/>
      <c r="D2" s="184"/>
      <c r="E2" s="184"/>
      <c r="F2" s="184"/>
      <c r="G2" s="184"/>
      <c r="H2" s="185"/>
      <c r="I2" s="17"/>
      <c r="J2" s="79"/>
      <c r="K2" s="79"/>
      <c r="L2" s="79"/>
      <c r="M2" s="17"/>
      <c r="N2" s="17"/>
      <c r="O2" s="17"/>
      <c r="P2" s="17"/>
      <c r="Q2" s="17"/>
      <c r="R2" s="79"/>
      <c r="S2" s="17"/>
      <c r="T2" s="17"/>
      <c r="U2" s="17"/>
      <c r="V2" s="17"/>
      <c r="W2" s="79"/>
      <c r="X2" s="17"/>
      <c r="Y2" s="17"/>
      <c r="Z2" s="17"/>
      <c r="AA2" s="17"/>
      <c r="AB2" s="17"/>
    </row>
    <row r="3" spans="2:33" ht="6" customHeight="1" thickBot="1" x14ac:dyDescent="0.4">
      <c r="B3" s="17"/>
      <c r="C3" s="17"/>
      <c r="D3" s="17"/>
      <c r="E3" s="17"/>
      <c r="F3" s="17"/>
      <c r="G3" s="17"/>
      <c r="H3" s="17"/>
      <c r="I3" s="17"/>
      <c r="J3" s="79"/>
      <c r="K3" s="79"/>
      <c r="L3" s="79"/>
      <c r="M3" s="17"/>
      <c r="N3" s="17"/>
      <c r="O3" s="17"/>
      <c r="P3" s="17"/>
      <c r="Q3" s="17"/>
      <c r="R3" s="79"/>
      <c r="S3" s="17"/>
      <c r="T3" s="17"/>
      <c r="U3" s="17"/>
      <c r="V3" s="17"/>
      <c r="W3" s="79"/>
      <c r="X3" s="17"/>
      <c r="Y3" s="17"/>
      <c r="Z3" s="17"/>
      <c r="AA3" s="17"/>
      <c r="AB3" s="17"/>
    </row>
    <row r="4" spans="2:33" ht="35.15" customHeight="1" thickBot="1" x14ac:dyDescent="0.4">
      <c r="B4" s="27" t="s">
        <v>1</v>
      </c>
      <c r="C4" s="69" t="s">
        <v>2</v>
      </c>
      <c r="D4" s="204" t="s">
        <v>3</v>
      </c>
      <c r="E4" s="205"/>
      <c r="F4" s="70" t="s">
        <v>4</v>
      </c>
      <c r="G4" s="28" t="s">
        <v>5</v>
      </c>
      <c r="H4" s="71" t="s">
        <v>6</v>
      </c>
      <c r="I4" s="17"/>
      <c r="J4" s="79"/>
      <c r="K4" s="79"/>
      <c r="L4" s="79"/>
      <c r="M4" s="17"/>
      <c r="N4" s="17"/>
      <c r="O4" s="17"/>
      <c r="P4" s="17"/>
      <c r="Q4" s="17"/>
      <c r="R4" s="79"/>
      <c r="S4" s="17"/>
      <c r="T4" s="17"/>
      <c r="U4" s="17"/>
      <c r="V4" s="17"/>
      <c r="W4" s="79"/>
      <c r="X4" s="17"/>
      <c r="Y4" s="17"/>
      <c r="Z4" s="17"/>
      <c r="AA4" s="17"/>
      <c r="AB4" s="17"/>
    </row>
    <row r="5" spans="2:33" ht="6" customHeight="1" thickBot="1" x14ac:dyDescent="0.4">
      <c r="B5" s="29"/>
      <c r="C5" s="30"/>
      <c r="D5" s="29"/>
      <c r="E5" s="29"/>
      <c r="F5" s="30"/>
      <c r="G5" s="29"/>
      <c r="H5" s="30"/>
      <c r="I5" s="17"/>
      <c r="J5" s="79"/>
      <c r="K5" s="79"/>
      <c r="L5" s="79"/>
      <c r="M5" s="17"/>
      <c r="N5" s="17"/>
      <c r="O5" s="17"/>
      <c r="P5" s="17"/>
      <c r="Q5" s="17"/>
      <c r="R5" s="79"/>
      <c r="S5" s="17"/>
      <c r="T5" s="17"/>
      <c r="U5" s="17"/>
      <c r="V5" s="17"/>
      <c r="W5" s="79"/>
      <c r="X5" s="17"/>
      <c r="Y5" s="17"/>
      <c r="Z5" s="17"/>
      <c r="AA5" s="17"/>
      <c r="AB5" s="17"/>
    </row>
    <row r="6" spans="2:33" ht="23.15" customHeight="1" thickBot="1" x14ac:dyDescent="0.4">
      <c r="B6" s="202" t="s">
        <v>7</v>
      </c>
      <c r="C6" s="203"/>
      <c r="D6" s="203"/>
      <c r="E6" s="212"/>
      <c r="F6" s="200" t="s">
        <v>8</v>
      </c>
      <c r="G6" s="200"/>
      <c r="H6" s="201"/>
      <c r="I6" s="198" t="s">
        <v>9</v>
      </c>
      <c r="J6" s="198"/>
      <c r="K6" s="198"/>
      <c r="L6" s="199"/>
      <c r="M6" s="195" t="s">
        <v>10</v>
      </c>
      <c r="N6" s="196"/>
      <c r="O6" s="197"/>
      <c r="P6" s="192" t="s">
        <v>11</v>
      </c>
      <c r="Q6" s="193"/>
      <c r="R6" s="193"/>
      <c r="S6" s="193"/>
      <c r="T6" s="194"/>
      <c r="U6" s="189" t="s">
        <v>12</v>
      </c>
      <c r="V6" s="190"/>
      <c r="W6" s="190"/>
      <c r="X6" s="190"/>
      <c r="Y6" s="191"/>
      <c r="Z6" s="213" t="s">
        <v>482</v>
      </c>
      <c r="AA6" s="214"/>
      <c r="AB6" s="214"/>
      <c r="AC6" s="213" t="s">
        <v>483</v>
      </c>
      <c r="AD6" s="214"/>
      <c r="AE6" s="214"/>
      <c r="AF6" s="214"/>
      <c r="AG6" s="215"/>
    </row>
    <row r="7" spans="2:33" s="22" customFormat="1" ht="61.5" customHeight="1" thickBot="1" x14ac:dyDescent="0.4">
      <c r="B7" s="48" t="s">
        <v>1327</v>
      </c>
      <c r="C7" s="49" t="s">
        <v>15</v>
      </c>
      <c r="D7" s="49" t="s">
        <v>16</v>
      </c>
      <c r="E7" s="49" t="s">
        <v>443</v>
      </c>
      <c r="F7" s="10" t="s">
        <v>18</v>
      </c>
      <c r="G7" s="10" t="s">
        <v>19</v>
      </c>
      <c r="H7" s="45" t="s">
        <v>20</v>
      </c>
      <c r="I7" s="11" t="s">
        <v>21</v>
      </c>
      <c r="J7" s="80" t="s">
        <v>22</v>
      </c>
      <c r="K7" s="80" t="s">
        <v>23</v>
      </c>
      <c r="L7" s="80" t="s">
        <v>1324</v>
      </c>
      <c r="M7" s="63" t="s">
        <v>24</v>
      </c>
      <c r="N7" s="63" t="s">
        <v>25</v>
      </c>
      <c r="O7" s="63" t="s">
        <v>484</v>
      </c>
      <c r="P7" s="38" t="s">
        <v>485</v>
      </c>
      <c r="Q7" s="38" t="s">
        <v>28</v>
      </c>
      <c r="R7" s="77" t="s">
        <v>29</v>
      </c>
      <c r="S7" s="16" t="s">
        <v>30</v>
      </c>
      <c r="T7" s="16" t="s">
        <v>31</v>
      </c>
      <c r="U7" s="54" t="s">
        <v>32</v>
      </c>
      <c r="V7" s="54" t="s">
        <v>33</v>
      </c>
      <c r="W7" s="78" t="s">
        <v>34</v>
      </c>
      <c r="X7" s="13" t="s">
        <v>35</v>
      </c>
      <c r="Y7" s="13" t="s">
        <v>36</v>
      </c>
      <c r="Z7" s="55" t="s">
        <v>486</v>
      </c>
      <c r="AA7" s="14" t="s">
        <v>38</v>
      </c>
      <c r="AB7" s="15" t="s">
        <v>487</v>
      </c>
      <c r="AC7" s="64" t="s">
        <v>488</v>
      </c>
      <c r="AD7" s="64" t="s">
        <v>489</v>
      </c>
      <c r="AE7" s="64" t="s">
        <v>490</v>
      </c>
      <c r="AF7" s="64" t="s">
        <v>491</v>
      </c>
      <c r="AG7" s="64" t="s">
        <v>492</v>
      </c>
    </row>
    <row r="8" spans="2:33" ht="48" x14ac:dyDescent="0.35">
      <c r="B8" s="41" t="s">
        <v>493</v>
      </c>
      <c r="C8" s="41" t="s">
        <v>494</v>
      </c>
      <c r="D8" s="41" t="s">
        <v>43</v>
      </c>
      <c r="E8" s="39"/>
      <c r="F8" s="65" t="str">
        <f ca="1">IF(Tableau32[[#This Row],[Date d''expiration ]]&gt;TODAY()+31,"✅",IF(Tableau32[[#This Row],[Date d''expiration ]]&gt; TODAY()+1, "⚠️","⛔️"))</f>
        <v>⛔️</v>
      </c>
      <c r="G8" s="8">
        <f>MIN(T8,Y8,AB8)</f>
        <v>46040</v>
      </c>
      <c r="H8" s="40" t="str">
        <f ca="1">IF( Tableau32[[#This Row],[Date d''expiration ]]&gt;TODAY(),"Néant","Cas à justifier")</f>
        <v>Cas à justifier</v>
      </c>
      <c r="I8" s="6">
        <v>26858</v>
      </c>
      <c r="J8" s="74">
        <f t="shared" ref="J8:J28" ca="1" si="0">YEARFRAC(I8,TODAY(),1)</f>
        <v>53.151244739644071</v>
      </c>
      <c r="K8" s="74">
        <f>YEARFRAC(I8,RG_DRH_S1_008!$E$4,1)</f>
        <v>52.468850087818986</v>
      </c>
      <c r="L8" s="74">
        <f>YEARFRAC(I8,RG_DRH_S1_008!$E$5,1)</f>
        <v>53.46884348222887</v>
      </c>
      <c r="M8" s="41" t="s">
        <v>495</v>
      </c>
      <c r="N8" s="41" t="s">
        <v>496</v>
      </c>
      <c r="O8" s="41" t="s">
        <v>46</v>
      </c>
      <c r="P8" s="42">
        <v>45600</v>
      </c>
      <c r="Q8" s="41" t="s">
        <v>47</v>
      </c>
      <c r="R8" s="74">
        <f t="shared" ref="R8:R28" si="1">YEARFRAC(I8,P8,1)</f>
        <v>51.312799452429843</v>
      </c>
      <c r="S8" s="19" t="str">
        <f t="shared" ref="S8:S28" si="2">IF(L8&lt;40,"4",IF(L8&lt;50,"3",IF(L8&lt;55,"2","1")))</f>
        <v>2</v>
      </c>
      <c r="T8" s="8">
        <f t="shared" ref="T8:T14" si="3">EDATE(P8, (12*S8))</f>
        <v>46330</v>
      </c>
      <c r="U8" s="42">
        <v>45919</v>
      </c>
      <c r="V8" s="41" t="s">
        <v>48</v>
      </c>
      <c r="W8" s="74">
        <f t="shared" ref="W8:W28" si="4">YEARFRAC(I8,U8,1)</f>
        <v>52.186847814856904</v>
      </c>
      <c r="X8" s="6" t="str">
        <f t="shared" ref="X8:X28" si="5">IF(L8&lt;40,"4",IF(L8&lt;55,"3","1"))</f>
        <v>3</v>
      </c>
      <c r="Y8" s="8">
        <f t="shared" ref="Y8:Y20" si="6">EDATE(U8, (12*X8))</f>
        <v>47015</v>
      </c>
      <c r="Z8" s="42">
        <v>45309</v>
      </c>
      <c r="AA8" s="3" t="s">
        <v>497</v>
      </c>
      <c r="AB8" s="8">
        <f t="shared" ref="AB8:AB27" si="7">EDATE(Z8, 24)</f>
        <v>46040</v>
      </c>
      <c r="AC8" s="41" t="s">
        <v>498</v>
      </c>
      <c r="AD8" s="41" t="s">
        <v>499</v>
      </c>
      <c r="AE8" s="41"/>
      <c r="AF8" s="41"/>
      <c r="AG8" s="41"/>
    </row>
    <row r="9" spans="2:33" ht="48" x14ac:dyDescent="0.35">
      <c r="B9" s="41" t="s">
        <v>500</v>
      </c>
      <c r="C9" s="41" t="s">
        <v>501</v>
      </c>
      <c r="D9" s="41" t="s">
        <v>43</v>
      </c>
      <c r="E9" s="39"/>
      <c r="F9" s="65" t="str">
        <f ca="1">IF(Tableau32[[#This Row],[Date d''expiration ]]&gt;TODAY()+31,"✅",IF(Tableau32[[#This Row],[Date d''expiration ]]&gt; TODAY()+1, "⚠️","⛔️"))</f>
        <v>⛔️</v>
      </c>
      <c r="G9" s="8">
        <f t="shared" ref="G9:G28" si="8">MIN(T9,Y9,AB9)</f>
        <v>46042</v>
      </c>
      <c r="H9" s="40" t="str">
        <f ca="1">IF( Tableau32[[#This Row],[Date d''expiration ]]&gt;TODAY(),"Néant","Cas à justifier")</f>
        <v>Cas à justifier</v>
      </c>
      <c r="I9" s="6">
        <v>27433</v>
      </c>
      <c r="J9" s="74">
        <f t="shared" ca="1" si="0"/>
        <v>51.575633127994521</v>
      </c>
      <c r="K9" s="74">
        <f>YEARFRAC(I9,RG_DRH_S1_008!$E$4,1)</f>
        <v>50.893225252308355</v>
      </c>
      <c r="L9" s="74">
        <f>YEARFRAC(I9,RG_DRH_S1_008!$E$5,1)</f>
        <v>51.893223819301845</v>
      </c>
      <c r="M9" s="41" t="s">
        <v>495</v>
      </c>
      <c r="N9" s="41" t="s">
        <v>496</v>
      </c>
      <c r="O9" s="41" t="s">
        <v>46</v>
      </c>
      <c r="P9" s="42">
        <v>45954</v>
      </c>
      <c r="Q9" s="41" t="s">
        <v>47</v>
      </c>
      <c r="R9" s="74">
        <f t="shared" si="1"/>
        <v>50.707053897358819</v>
      </c>
      <c r="S9" s="19" t="str">
        <f t="shared" si="2"/>
        <v>2</v>
      </c>
      <c r="T9" s="8">
        <f t="shared" si="3"/>
        <v>46684</v>
      </c>
      <c r="U9" s="42">
        <v>45954</v>
      </c>
      <c r="V9" s="41" t="s">
        <v>48</v>
      </c>
      <c r="W9" s="74">
        <f t="shared" si="4"/>
        <v>50.707053897358819</v>
      </c>
      <c r="X9" s="6" t="str">
        <f t="shared" si="5"/>
        <v>3</v>
      </c>
      <c r="Y9" s="8">
        <f t="shared" si="6"/>
        <v>47050</v>
      </c>
      <c r="Z9" s="42">
        <v>45311</v>
      </c>
      <c r="AA9" s="3" t="s">
        <v>497</v>
      </c>
      <c r="AB9" s="8">
        <f t="shared" si="7"/>
        <v>46042</v>
      </c>
      <c r="AC9" s="41">
        <v>0</v>
      </c>
      <c r="AD9" s="41">
        <v>0</v>
      </c>
      <c r="AE9" s="41"/>
      <c r="AF9" s="41"/>
      <c r="AG9" s="41"/>
    </row>
    <row r="10" spans="2:33" ht="48" x14ac:dyDescent="0.35">
      <c r="B10" s="41" t="s">
        <v>502</v>
      </c>
      <c r="C10" s="41" t="s">
        <v>503</v>
      </c>
      <c r="D10" s="41" t="s">
        <v>43</v>
      </c>
      <c r="E10" s="39"/>
      <c r="F10" s="65" t="str">
        <f ca="1">IF(Tableau32[[#This Row],[Date d''expiration ]]&gt;TODAY()+31,"✅",IF(Tableau32[[#This Row],[Date d''expiration ]]&gt; TODAY()+1, "⚠️","⛔️"))</f>
        <v>⛔️</v>
      </c>
      <c r="G10" s="8">
        <f t="shared" si="8"/>
        <v>46028</v>
      </c>
      <c r="H10" s="40" t="str">
        <f ca="1">IF( Tableau32[[#This Row],[Date d''expiration ]]&gt;TODAY(),"Néant","Cas à justifier")</f>
        <v>Cas à justifier</v>
      </c>
      <c r="I10" s="6">
        <v>30027</v>
      </c>
      <c r="J10" s="74">
        <f t="shared" ca="1" si="0"/>
        <v>44.474324653200291</v>
      </c>
      <c r="K10" s="74">
        <f>YEARFRAC(I10,RG_DRH_S1_008!$E$4,1)</f>
        <v>43.791923340177959</v>
      </c>
      <c r="L10" s="74">
        <f>YEARFRAC(I10,RG_DRH_S1_008!$E$5,1)</f>
        <v>44.791920175225115</v>
      </c>
      <c r="M10" s="41" t="s">
        <v>495</v>
      </c>
      <c r="N10" s="41" t="s">
        <v>496</v>
      </c>
      <c r="O10" s="41" t="s">
        <v>46</v>
      </c>
      <c r="P10" s="42">
        <v>44932</v>
      </c>
      <c r="Q10" s="41" t="s">
        <v>47</v>
      </c>
      <c r="R10" s="74">
        <f t="shared" si="1"/>
        <v>40.808996088657103</v>
      </c>
      <c r="S10" s="19" t="str">
        <f t="shared" si="2"/>
        <v>3</v>
      </c>
      <c r="T10" s="8">
        <f t="shared" si="3"/>
        <v>46028</v>
      </c>
      <c r="U10" s="42">
        <v>44966</v>
      </c>
      <c r="V10" s="41" t="s">
        <v>48</v>
      </c>
      <c r="W10" s="74">
        <f t="shared" si="4"/>
        <v>40.902086049543676</v>
      </c>
      <c r="X10" s="6" t="str">
        <f t="shared" si="5"/>
        <v>3</v>
      </c>
      <c r="Y10" s="8">
        <f t="shared" si="6"/>
        <v>46062</v>
      </c>
      <c r="Z10" s="42">
        <v>45421</v>
      </c>
      <c r="AA10" s="3" t="s">
        <v>504</v>
      </c>
      <c r="AB10" s="8">
        <f t="shared" si="7"/>
        <v>46151</v>
      </c>
      <c r="AC10" s="41" t="s">
        <v>505</v>
      </c>
      <c r="AD10" s="41" t="s">
        <v>506</v>
      </c>
      <c r="AE10" s="41"/>
      <c r="AF10" s="41"/>
      <c r="AG10" s="41"/>
    </row>
    <row r="11" spans="2:33" ht="48" x14ac:dyDescent="0.35">
      <c r="B11" s="41" t="s">
        <v>507</v>
      </c>
      <c r="C11" s="41" t="s">
        <v>508</v>
      </c>
      <c r="D11" s="41" t="s">
        <v>43</v>
      </c>
      <c r="E11" s="39"/>
      <c r="F11" s="65" t="str">
        <f ca="1">IF(Tableau32[[#This Row],[Date d''expiration ]]&gt;TODAY()+31,"✅",IF(Tableau32[[#This Row],[Date d''expiration ]]&gt; TODAY()+1, "⚠️","⛔️"))</f>
        <v>⛔️</v>
      </c>
      <c r="G11" s="8">
        <f t="shared" si="8"/>
        <v>46038</v>
      </c>
      <c r="H11" s="40" t="str">
        <f ca="1">IF( Tableau32[[#This Row],[Date d''expiration ]]&gt;TODAY(),"Néant","Cas à justifier")</f>
        <v>Cas à justifier</v>
      </c>
      <c r="I11" s="6">
        <v>30665</v>
      </c>
      <c r="J11" s="74">
        <f t="shared" ca="1" si="0"/>
        <v>42.726899383983572</v>
      </c>
      <c r="K11" s="74">
        <f>YEARFRAC(I11,RG_DRH_S1_008!$E$4,1)</f>
        <v>42.044505284604611</v>
      </c>
      <c r="L11" s="74">
        <f>YEARFRAC(I11,RG_DRH_S1_008!$E$5,1)</f>
        <v>43.044490075290895</v>
      </c>
      <c r="M11" s="41" t="s">
        <v>495</v>
      </c>
      <c r="N11" s="41" t="s">
        <v>496</v>
      </c>
      <c r="O11" s="41" t="s">
        <v>46</v>
      </c>
      <c r="P11" s="42">
        <v>45042</v>
      </c>
      <c r="Q11" s="41" t="s">
        <v>47</v>
      </c>
      <c r="R11" s="74">
        <f t="shared" si="1"/>
        <v>39.362737896494153</v>
      </c>
      <c r="S11" s="19" t="str">
        <f t="shared" si="2"/>
        <v>3</v>
      </c>
      <c r="T11" s="8">
        <f t="shared" si="3"/>
        <v>46138</v>
      </c>
      <c r="U11" s="42">
        <v>45414</v>
      </c>
      <c r="V11" s="41" t="s">
        <v>48</v>
      </c>
      <c r="W11" s="74">
        <f t="shared" si="4"/>
        <v>40.379245160028681</v>
      </c>
      <c r="X11" s="6" t="str">
        <f t="shared" si="5"/>
        <v>3</v>
      </c>
      <c r="Y11" s="8">
        <f t="shared" si="6"/>
        <v>46509</v>
      </c>
      <c r="Z11" s="42">
        <v>45307</v>
      </c>
      <c r="AA11" s="3" t="s">
        <v>497</v>
      </c>
      <c r="AB11" s="8">
        <f t="shared" si="7"/>
        <v>46038</v>
      </c>
      <c r="AC11" s="41" t="s">
        <v>509</v>
      </c>
      <c r="AD11" s="41" t="s">
        <v>510</v>
      </c>
      <c r="AE11" s="41"/>
      <c r="AF11" s="41"/>
      <c r="AG11" s="41"/>
    </row>
    <row r="12" spans="2:33" ht="48" x14ac:dyDescent="0.35">
      <c r="B12" s="41" t="s">
        <v>511</v>
      </c>
      <c r="C12" s="41" t="s">
        <v>512</v>
      </c>
      <c r="D12" s="41" t="s">
        <v>43</v>
      </c>
      <c r="E12" s="39"/>
      <c r="F12" s="65" t="str">
        <f ca="1">IF(Tableau32[[#This Row],[Date d''expiration ]]&gt;TODAY()+31,"✅",IF(Tableau32[[#This Row],[Date d''expiration ]]&gt; TODAY()+1, "⚠️","⛔️"))</f>
        <v>⛔️</v>
      </c>
      <c r="G12" s="8">
        <f t="shared" si="8"/>
        <v>46034</v>
      </c>
      <c r="H12" s="40" t="str">
        <f ca="1">IF( Tableau32[[#This Row],[Date d''expiration ]]&gt;TODAY(),"Néant","Cas à justifier")</f>
        <v>Cas à justifier</v>
      </c>
      <c r="I12" s="6">
        <v>30491</v>
      </c>
      <c r="J12" s="74">
        <f t="shared" ca="1" si="0"/>
        <v>43.20328542094456</v>
      </c>
      <c r="K12" s="74">
        <f>YEARFRAC(I12,RG_DRH_S1_008!$E$4,1)</f>
        <v>42.520883738698586</v>
      </c>
      <c r="L12" s="74">
        <f>YEARFRAC(I12,RG_DRH_S1_008!$E$5,1)</f>
        <v>43.520876112251884</v>
      </c>
      <c r="M12" s="41" t="s">
        <v>495</v>
      </c>
      <c r="N12" s="41" t="s">
        <v>496</v>
      </c>
      <c r="O12" s="41" t="s">
        <v>46</v>
      </c>
      <c r="P12" s="42">
        <v>44946</v>
      </c>
      <c r="Q12" s="41" t="s">
        <v>47</v>
      </c>
      <c r="R12" s="74">
        <f t="shared" si="1"/>
        <v>39.576293823038398</v>
      </c>
      <c r="S12" s="19" t="str">
        <f t="shared" si="2"/>
        <v>3</v>
      </c>
      <c r="T12" s="8">
        <f t="shared" si="3"/>
        <v>46042</v>
      </c>
      <c r="U12" s="42">
        <v>45419</v>
      </c>
      <c r="V12" s="41" t="s">
        <v>48</v>
      </c>
      <c r="W12" s="74">
        <f t="shared" si="4"/>
        <v>40.869304478195687</v>
      </c>
      <c r="X12" s="6" t="str">
        <f t="shared" si="5"/>
        <v>3</v>
      </c>
      <c r="Y12" s="8">
        <f t="shared" si="6"/>
        <v>46514</v>
      </c>
      <c r="Z12" s="42">
        <v>45303</v>
      </c>
      <c r="AA12" s="3" t="s">
        <v>497</v>
      </c>
      <c r="AB12" s="8">
        <f t="shared" si="7"/>
        <v>46034</v>
      </c>
      <c r="AC12" s="41" t="s">
        <v>513</v>
      </c>
      <c r="AD12" s="41" t="s">
        <v>514</v>
      </c>
      <c r="AE12" s="41"/>
      <c r="AF12" s="41"/>
      <c r="AG12" s="41"/>
    </row>
    <row r="13" spans="2:33" ht="34.5" x14ac:dyDescent="0.35">
      <c r="B13" s="41" t="s">
        <v>515</v>
      </c>
      <c r="C13" s="41" t="s">
        <v>516</v>
      </c>
      <c r="D13" s="41" t="s">
        <v>43</v>
      </c>
      <c r="E13" s="39"/>
      <c r="F13" s="65" t="str">
        <f ca="1">IF(Tableau32[[#This Row],[Date d''expiration ]]&gt;TODAY()+31,"✅",IF(Tableau32[[#This Row],[Date d''expiration ]]&gt; TODAY()+1, "⚠️","⛔️"))</f>
        <v>⛔️</v>
      </c>
      <c r="G13" s="8">
        <f t="shared" si="8"/>
        <v>46037</v>
      </c>
      <c r="H13" s="40" t="str">
        <f ca="1">IF( Tableau32[[#This Row],[Date d''expiration ]]&gt;TODAY(),"Néant","Cas à justifier")</f>
        <v>Cas à justifier</v>
      </c>
      <c r="I13" s="6">
        <v>32233</v>
      </c>
      <c r="J13" s="74">
        <f t="shared" ca="1" si="0"/>
        <v>38.43327483327483</v>
      </c>
      <c r="K13" s="74">
        <f>YEARFRAC(I13,RG_DRH_S1_008!$E$4,1)</f>
        <v>37.750864553314123</v>
      </c>
      <c r="L13" s="74">
        <f>YEARFRAC(I13,RG_DRH_S1_008!$E$5,1)</f>
        <v>38.750859950859947</v>
      </c>
      <c r="M13" s="41" t="s">
        <v>495</v>
      </c>
      <c r="N13" s="41" t="s">
        <v>50</v>
      </c>
      <c r="O13" s="41" t="s">
        <v>51</v>
      </c>
      <c r="P13" s="42">
        <v>44957</v>
      </c>
      <c r="Q13" s="41" t="s">
        <v>47</v>
      </c>
      <c r="R13" s="74">
        <f t="shared" si="1"/>
        <v>34.836413415468854</v>
      </c>
      <c r="S13" s="19" t="str">
        <f t="shared" si="2"/>
        <v>4</v>
      </c>
      <c r="T13" s="8">
        <f t="shared" si="3"/>
        <v>46418</v>
      </c>
      <c r="U13" s="42">
        <v>45824</v>
      </c>
      <c r="V13" s="41" t="s">
        <v>48</v>
      </c>
      <c r="W13" s="74">
        <f t="shared" si="4"/>
        <v>37.208789625360232</v>
      </c>
      <c r="X13" s="6" t="str">
        <f t="shared" si="5"/>
        <v>4</v>
      </c>
      <c r="Y13" s="8">
        <f t="shared" si="6"/>
        <v>47285</v>
      </c>
      <c r="Z13" s="42">
        <v>45306</v>
      </c>
      <c r="AA13" s="3" t="s">
        <v>497</v>
      </c>
      <c r="AB13" s="8">
        <f t="shared" si="7"/>
        <v>46037</v>
      </c>
      <c r="AC13" s="41">
        <v>0</v>
      </c>
      <c r="AD13" s="41" t="s">
        <v>517</v>
      </c>
      <c r="AE13" s="41"/>
      <c r="AF13" s="41"/>
      <c r="AG13" s="41"/>
    </row>
    <row r="14" spans="2:33" ht="48" x14ac:dyDescent="0.35">
      <c r="B14" s="41" t="s">
        <v>518</v>
      </c>
      <c r="C14" s="41" t="s">
        <v>519</v>
      </c>
      <c r="D14" s="41" t="s">
        <v>43</v>
      </c>
      <c r="E14" s="39"/>
      <c r="F14" s="65" t="str">
        <f ca="1">IF(Tableau32[[#This Row],[Date d''expiration ]]&gt;TODAY()+31,"✅",IF(Tableau32[[#This Row],[Date d''expiration ]]&gt; TODAY()+1, "⚠️","⛔️"))</f>
        <v>⛔️</v>
      </c>
      <c r="G14" s="8">
        <f t="shared" si="8"/>
        <v>46042</v>
      </c>
      <c r="H14" s="107" t="str">
        <f ca="1">IF( Tableau32[[#This Row],[Date d''expiration ]]&gt;TODAY(),"Néant","Cas à justifier")</f>
        <v>Cas à justifier</v>
      </c>
      <c r="I14" s="6">
        <v>31340</v>
      </c>
      <c r="J14" s="74">
        <f t="shared" ca="1" si="0"/>
        <v>40.880182529335073</v>
      </c>
      <c r="K14" s="74">
        <f>YEARFRAC(I14,RG_DRH_S1_008!$E$4,1)</f>
        <v>40.197796327212018</v>
      </c>
      <c r="L14" s="74">
        <f>YEARFRAC(I14,RG_DRH_S1_008!$E$5,1)</f>
        <v>41.197783572359846</v>
      </c>
      <c r="M14" s="41" t="s">
        <v>495</v>
      </c>
      <c r="N14" s="41" t="s">
        <v>496</v>
      </c>
      <c r="O14" s="41" t="s">
        <v>46</v>
      </c>
      <c r="P14" s="42">
        <v>45758</v>
      </c>
      <c r="Q14" s="41" t="s">
        <v>47</v>
      </c>
      <c r="R14" s="74">
        <f t="shared" si="1"/>
        <v>39.474991652754589</v>
      </c>
      <c r="S14" s="19" t="str">
        <f t="shared" si="2"/>
        <v>3</v>
      </c>
      <c r="T14" s="8">
        <f t="shared" si="3"/>
        <v>46854</v>
      </c>
      <c r="U14" s="42">
        <v>45044</v>
      </c>
      <c r="V14" s="41" t="s">
        <v>48</v>
      </c>
      <c r="W14" s="74">
        <f t="shared" si="4"/>
        <v>37.521482729570344</v>
      </c>
      <c r="X14" s="6" t="str">
        <f t="shared" si="5"/>
        <v>3</v>
      </c>
      <c r="Y14" s="8">
        <f t="shared" si="6"/>
        <v>46140</v>
      </c>
      <c r="Z14" s="42">
        <v>45311</v>
      </c>
      <c r="AA14" s="3" t="s">
        <v>497</v>
      </c>
      <c r="AB14" s="8">
        <f t="shared" si="7"/>
        <v>46042</v>
      </c>
      <c r="AC14" s="41" t="s">
        <v>520</v>
      </c>
      <c r="AD14" s="41" t="s">
        <v>521</v>
      </c>
      <c r="AE14" s="41"/>
      <c r="AF14" s="41"/>
      <c r="AG14" s="41"/>
    </row>
    <row r="15" spans="2:33" ht="34.5" x14ac:dyDescent="0.35">
      <c r="B15" s="41" t="s">
        <v>522</v>
      </c>
      <c r="C15" s="41" t="s">
        <v>523</v>
      </c>
      <c r="D15" s="41" t="s">
        <v>43</v>
      </c>
      <c r="E15" s="39"/>
      <c r="F15" s="65" t="str">
        <f ca="1">IF(Tableau32[[#This Row],[Date d''expiration ]]&gt;TODAY()+31,"✅",IF(Tableau32[[#This Row],[Date d''expiration ]]&gt; TODAY()+1, "⚠️","⛔️"))</f>
        <v>✅</v>
      </c>
      <c r="G15" s="8">
        <f t="shared" si="8"/>
        <v>46361</v>
      </c>
      <c r="H15" s="40" t="str">
        <f ca="1">IF( Tableau32[[#This Row],[Date d''expiration ]]&gt;TODAY(),"Néant","Cas à justifier")</f>
        <v>Néant</v>
      </c>
      <c r="I15" s="6">
        <v>35824</v>
      </c>
      <c r="J15" s="74">
        <f t="shared" ca="1" si="0"/>
        <v>28.603002265861026</v>
      </c>
      <c r="K15" s="74">
        <f>YEARFRAC(I15,RG_DRH_S1_008!$E$4,1)</f>
        <v>27.920602327173167</v>
      </c>
      <c r="L15" s="74">
        <f>YEARFRAC(I15,RG_DRH_S1_008!$E$5,1)</f>
        <v>28.920600453172206</v>
      </c>
      <c r="M15" s="41" t="s">
        <v>524</v>
      </c>
      <c r="N15" s="41" t="s">
        <v>128</v>
      </c>
      <c r="O15" s="41" t="s">
        <v>525</v>
      </c>
      <c r="P15" s="42">
        <v>45698</v>
      </c>
      <c r="Q15" s="41" t="s">
        <v>47</v>
      </c>
      <c r="R15" s="74">
        <f t="shared" si="1"/>
        <v>27.033538672142367</v>
      </c>
      <c r="S15" s="19" t="str">
        <f t="shared" si="2"/>
        <v>4</v>
      </c>
      <c r="T15" s="8">
        <f t="shared" ref="T15:T28" si="9">EDATE(P15, (12*S15))</f>
        <v>47159</v>
      </c>
      <c r="U15" s="42">
        <v>45321</v>
      </c>
      <c r="V15" s="41" t="s">
        <v>48</v>
      </c>
      <c r="W15" s="74">
        <f t="shared" si="4"/>
        <v>26.000709795173396</v>
      </c>
      <c r="X15" s="6" t="str">
        <f t="shared" si="5"/>
        <v>4</v>
      </c>
      <c r="Y15" s="8">
        <f t="shared" si="6"/>
        <v>46782</v>
      </c>
      <c r="Z15" s="42">
        <v>45631</v>
      </c>
      <c r="AA15" s="3" t="s">
        <v>497</v>
      </c>
      <c r="AB15" s="8">
        <f t="shared" si="7"/>
        <v>46361</v>
      </c>
      <c r="AC15" s="73" t="s">
        <v>526</v>
      </c>
      <c r="AD15" s="41">
        <v>0</v>
      </c>
      <c r="AE15" s="41"/>
      <c r="AF15" s="41"/>
      <c r="AG15" s="41"/>
    </row>
    <row r="16" spans="2:33" ht="48" x14ac:dyDescent="0.35">
      <c r="B16" s="41" t="s">
        <v>527</v>
      </c>
      <c r="C16" s="41" t="s">
        <v>528</v>
      </c>
      <c r="D16" s="41" t="s">
        <v>43</v>
      </c>
      <c r="E16" s="39"/>
      <c r="F16" s="65" t="str">
        <f ca="1">IF(Tableau32[[#This Row],[Date d''expiration ]]&gt;TODAY()+31,"✅",IF(Tableau32[[#This Row],[Date d''expiration ]]&gt; TODAY()+1, "⚠️","⛔️"))</f>
        <v>✅</v>
      </c>
      <c r="G16" s="8">
        <f t="shared" si="8"/>
        <v>46382</v>
      </c>
      <c r="H16" s="40" t="str">
        <f ca="1">IF( Tableau32[[#This Row],[Date d''expiration ]]&gt;TODAY(),"Néant","Cas à justifier")</f>
        <v>Néant</v>
      </c>
      <c r="I16" s="6">
        <v>33508</v>
      </c>
      <c r="J16" s="74">
        <f t="shared" ca="1" si="0"/>
        <v>34.943189596167009</v>
      </c>
      <c r="K16" s="74">
        <f>YEARFRAC(I16,RG_DRH_S1_008!$E$4,1)</f>
        <v>34.260794743429287</v>
      </c>
      <c r="L16" s="74">
        <f>YEARFRAC(I16,RG_DRH_S1_008!$E$5,1)</f>
        <v>35.260780287474333</v>
      </c>
      <c r="M16" s="41" t="s">
        <v>495</v>
      </c>
      <c r="N16" s="41" t="s">
        <v>45</v>
      </c>
      <c r="O16" s="41" t="s">
        <v>46</v>
      </c>
      <c r="P16" s="42">
        <v>45677</v>
      </c>
      <c r="Q16" s="41" t="s">
        <v>47</v>
      </c>
      <c r="R16" s="74">
        <f t="shared" si="1"/>
        <v>33.316254693366709</v>
      </c>
      <c r="S16" s="19" t="str">
        <f t="shared" si="2"/>
        <v>4</v>
      </c>
      <c r="T16" s="8">
        <f t="shared" si="9"/>
        <v>47138</v>
      </c>
      <c r="U16" s="42">
        <v>45012</v>
      </c>
      <c r="V16" s="41" t="s">
        <v>48</v>
      </c>
      <c r="W16" s="74">
        <f t="shared" si="4"/>
        <v>31.496888741392183</v>
      </c>
      <c r="X16" s="6" t="str">
        <f t="shared" si="5"/>
        <v>4</v>
      </c>
      <c r="Y16" s="8">
        <f t="shared" si="6"/>
        <v>46473</v>
      </c>
      <c r="Z16" s="42">
        <v>45652</v>
      </c>
      <c r="AA16" s="3" t="s">
        <v>504</v>
      </c>
      <c r="AB16" s="8">
        <f t="shared" si="7"/>
        <v>46382</v>
      </c>
      <c r="AC16" s="73" t="s">
        <v>526</v>
      </c>
      <c r="AD16" s="41" t="s">
        <v>529</v>
      </c>
      <c r="AE16" s="41"/>
      <c r="AF16" s="41"/>
      <c r="AG16" s="41"/>
    </row>
    <row r="17" spans="2:33" ht="48" x14ac:dyDescent="0.35">
      <c r="B17" s="41" t="s">
        <v>530</v>
      </c>
      <c r="C17" s="41" t="s">
        <v>531</v>
      </c>
      <c r="D17" s="41" t="s">
        <v>43</v>
      </c>
      <c r="E17" s="39"/>
      <c r="F17" s="65" t="str">
        <f ca="1">IF(Tableau32[[#This Row],[Date d''expiration ]]&gt;TODAY()+31,"✅",IF(Tableau32[[#This Row],[Date d''expiration ]]&gt; TODAY()+1, "⚠️","⛔️"))</f>
        <v>✅</v>
      </c>
      <c r="G17" s="8">
        <f t="shared" si="8"/>
        <v>46382</v>
      </c>
      <c r="H17" s="40" t="str">
        <f ca="1">IF( Tableau32[[#This Row],[Date d''expiration ]]&gt;TODAY(),"Néant","Cas à justifier")</f>
        <v>Néant</v>
      </c>
      <c r="I17" s="6">
        <v>32758</v>
      </c>
      <c r="J17" s="74">
        <f t="shared" ca="1" si="0"/>
        <v>36.997910512284747</v>
      </c>
      <c r="K17" s="74">
        <f>YEARFRAC(I17,RG_DRH_S1_008!$E$4,1)</f>
        <v>36.315524641112923</v>
      </c>
      <c r="L17" s="74">
        <f>YEARFRAC(I17,RG_DRH_S1_008!$E$5,1)</f>
        <v>37.315512645003238</v>
      </c>
      <c r="M17" s="41" t="s">
        <v>495</v>
      </c>
      <c r="N17" s="41" t="s">
        <v>45</v>
      </c>
      <c r="O17" s="41" t="s">
        <v>46</v>
      </c>
      <c r="P17" s="42">
        <v>45761</v>
      </c>
      <c r="Q17" s="41" t="s">
        <v>47</v>
      </c>
      <c r="R17" s="74">
        <f t="shared" si="1"/>
        <v>35.600932366434812</v>
      </c>
      <c r="S17" s="6" t="str">
        <f t="shared" si="2"/>
        <v>4</v>
      </c>
      <c r="T17" s="8">
        <f t="shared" si="9"/>
        <v>47222</v>
      </c>
      <c r="U17" s="42">
        <v>45313</v>
      </c>
      <c r="V17" s="41" t="s">
        <v>48</v>
      </c>
      <c r="W17" s="74">
        <f t="shared" si="4"/>
        <v>34.373716632443532</v>
      </c>
      <c r="X17" s="6" t="str">
        <f t="shared" si="5"/>
        <v>4</v>
      </c>
      <c r="Y17" s="8">
        <f t="shared" si="6"/>
        <v>46774</v>
      </c>
      <c r="Z17" s="42">
        <v>45652</v>
      </c>
      <c r="AA17" s="3" t="s">
        <v>504</v>
      </c>
      <c r="AB17" s="8">
        <f t="shared" si="7"/>
        <v>46382</v>
      </c>
      <c r="AC17" s="73" t="s">
        <v>526</v>
      </c>
      <c r="AD17" s="41" t="s">
        <v>532</v>
      </c>
      <c r="AE17" s="41"/>
      <c r="AF17" s="41"/>
      <c r="AG17" s="41"/>
    </row>
    <row r="18" spans="2:33" ht="48" x14ac:dyDescent="0.35">
      <c r="B18" s="41" t="s">
        <v>533</v>
      </c>
      <c r="C18" s="41" t="s">
        <v>534</v>
      </c>
      <c r="D18" s="41" t="s">
        <v>43</v>
      </c>
      <c r="E18" s="39"/>
      <c r="F18" s="65" t="str">
        <f ca="1">IF(Tableau32[[#This Row],[Date d''expiration ]]&gt;TODAY()+31,"✅",IF(Tableau32[[#This Row],[Date d''expiration ]]&gt; TODAY()+1, "⚠️","⛔️"))</f>
        <v>✅</v>
      </c>
      <c r="G18" s="8">
        <f t="shared" si="8"/>
        <v>46382</v>
      </c>
      <c r="H18" s="40" t="str">
        <f ca="1">IF( Tableau32[[#This Row],[Date d''expiration ]]&gt;TODAY(),"Néant","Cas à justifier")</f>
        <v>Néant</v>
      </c>
      <c r="I18" s="6">
        <v>32622</v>
      </c>
      <c r="J18" s="74">
        <f t="shared" ca="1" si="0"/>
        <v>37.370271633402979</v>
      </c>
      <c r="K18" s="74">
        <f>YEARFRAC(I18,RG_DRH_S1_008!$E$4,1)</f>
        <v>36.687879236347491</v>
      </c>
      <c r="L18" s="74">
        <f>YEARFRAC(I18,RG_DRH_S1_008!$E$5,1)</f>
        <v>37.687873766121477</v>
      </c>
      <c r="M18" s="41" t="s">
        <v>495</v>
      </c>
      <c r="N18" s="41" t="s">
        <v>45</v>
      </c>
      <c r="O18" s="41" t="s">
        <v>46</v>
      </c>
      <c r="P18" s="42">
        <v>45793</v>
      </c>
      <c r="Q18" s="41" t="s">
        <v>47</v>
      </c>
      <c r="R18" s="74">
        <f t="shared" si="1"/>
        <v>36.06089980760693</v>
      </c>
      <c r="S18" s="6" t="str">
        <f t="shared" si="2"/>
        <v>4</v>
      </c>
      <c r="T18" s="8">
        <f t="shared" si="9"/>
        <v>47254</v>
      </c>
      <c r="U18" s="42">
        <v>45303</v>
      </c>
      <c r="V18" s="41" t="s">
        <v>48</v>
      </c>
      <c r="W18" s="74">
        <f t="shared" si="4"/>
        <v>34.718685831622174</v>
      </c>
      <c r="X18" s="6" t="str">
        <f t="shared" si="5"/>
        <v>4</v>
      </c>
      <c r="Y18" s="8">
        <f t="shared" si="6"/>
        <v>46764</v>
      </c>
      <c r="Z18" s="42">
        <v>45652</v>
      </c>
      <c r="AA18" s="3" t="s">
        <v>504</v>
      </c>
      <c r="AB18" s="8">
        <f t="shared" si="7"/>
        <v>46382</v>
      </c>
      <c r="AC18" s="73" t="s">
        <v>526</v>
      </c>
      <c r="AD18" s="41" t="s">
        <v>535</v>
      </c>
      <c r="AE18" s="41"/>
      <c r="AF18" s="41"/>
      <c r="AG18" s="41"/>
    </row>
    <row r="19" spans="2:33" ht="80" x14ac:dyDescent="0.35">
      <c r="B19" s="41" t="s">
        <v>536</v>
      </c>
      <c r="C19" s="41" t="s">
        <v>537</v>
      </c>
      <c r="D19" s="41" t="s">
        <v>538</v>
      </c>
      <c r="E19" s="39"/>
      <c r="F19" s="65" t="str">
        <f ca="1">IF(Tableau32[[#This Row],[Date d''expiration ]]&gt;TODAY()+31,"✅",IF(Tableau32[[#This Row],[Date d''expiration ]]&gt; TODAY()+1, "⚠️","⛔️"))</f>
        <v>⛔️</v>
      </c>
      <c r="G19" s="8">
        <f t="shared" si="8"/>
        <v>46034</v>
      </c>
      <c r="H19" s="40" t="str">
        <f ca="1">IF( Tableau32[[#This Row],[Date d''expiration ]]&gt;TODAY(),"Néant","Cas à justifier")</f>
        <v>Cas à justifier</v>
      </c>
      <c r="I19" s="6">
        <v>33868</v>
      </c>
      <c r="J19" s="74">
        <f t="shared" ca="1" si="0"/>
        <v>33.956899249061323</v>
      </c>
      <c r="K19" s="74">
        <f>YEARFRAC(I19,RG_DRH_S1_008!$E$4,1)</f>
        <v>33.274498751912397</v>
      </c>
      <c r="L19" s="74">
        <f>YEARFRAC(I19,RG_DRH_S1_008!$E$5,1)</f>
        <v>34.27448372966208</v>
      </c>
      <c r="M19" s="41" t="s">
        <v>495</v>
      </c>
      <c r="N19" s="41" t="s">
        <v>104</v>
      </c>
      <c r="O19" s="41" t="s">
        <v>539</v>
      </c>
      <c r="P19" s="42">
        <v>45749</v>
      </c>
      <c r="Q19" s="41" t="s">
        <v>47</v>
      </c>
      <c r="R19" s="74">
        <f t="shared" si="1"/>
        <v>32.527095579354217</v>
      </c>
      <c r="S19" s="19" t="str">
        <f t="shared" si="2"/>
        <v>4</v>
      </c>
      <c r="T19" s="8">
        <f t="shared" si="9"/>
        <v>47210</v>
      </c>
      <c r="U19" s="42">
        <v>45104</v>
      </c>
      <c r="V19" s="41" t="s">
        <v>48</v>
      </c>
      <c r="W19" s="74">
        <f t="shared" si="4"/>
        <v>30.762491444216291</v>
      </c>
      <c r="X19" s="6" t="str">
        <f t="shared" si="5"/>
        <v>4</v>
      </c>
      <c r="Y19" s="8">
        <f t="shared" si="6"/>
        <v>46565</v>
      </c>
      <c r="Z19" s="42">
        <v>45303</v>
      </c>
      <c r="AA19" s="3" t="s">
        <v>497</v>
      </c>
      <c r="AB19" s="8">
        <f t="shared" si="7"/>
        <v>46034</v>
      </c>
      <c r="AC19" s="41" t="s">
        <v>540</v>
      </c>
      <c r="AD19" s="41" t="s">
        <v>541</v>
      </c>
      <c r="AE19" s="41" t="s">
        <v>542</v>
      </c>
      <c r="AF19" s="41"/>
      <c r="AG19" s="41"/>
    </row>
    <row r="20" spans="2:33" ht="80" x14ac:dyDescent="0.35">
      <c r="B20" s="41" t="s">
        <v>543</v>
      </c>
      <c r="C20" s="41" t="s">
        <v>544</v>
      </c>
      <c r="D20" s="41" t="s">
        <v>538</v>
      </c>
      <c r="E20" s="39"/>
      <c r="F20" s="65" t="str">
        <f ca="1">IF(Tableau32[[#This Row],[Date d''expiration ]]&gt;TODAY()+31,"✅",IF(Tableau32[[#This Row],[Date d''expiration ]]&gt; TODAY()+1, "⚠️","⛔️"))</f>
        <v>⛔️</v>
      </c>
      <c r="G20" s="8">
        <f t="shared" si="8"/>
        <v>46038</v>
      </c>
      <c r="H20" s="40" t="s">
        <v>82</v>
      </c>
      <c r="I20" s="6">
        <v>31274</v>
      </c>
      <c r="J20" s="74">
        <f t="shared" ca="1" si="0"/>
        <v>41.060886571056059</v>
      </c>
      <c r="K20" s="74">
        <f>YEARFRAC(I20,RG_DRH_S1_008!$E$4,1)</f>
        <v>40.378497495826373</v>
      </c>
      <c r="L20" s="74">
        <f>YEARFRAC(I20,RG_DRH_S1_008!$E$5,1)</f>
        <v>41.378487614080832</v>
      </c>
      <c r="M20" s="41" t="s">
        <v>495</v>
      </c>
      <c r="N20" s="41" t="s">
        <v>545</v>
      </c>
      <c r="O20" s="41" t="s">
        <v>539</v>
      </c>
      <c r="P20" s="42">
        <v>45224</v>
      </c>
      <c r="Q20" s="41" t="s">
        <v>47</v>
      </c>
      <c r="R20" s="74">
        <f t="shared" si="1"/>
        <v>38.195029486099408</v>
      </c>
      <c r="S20" s="19" t="str">
        <f t="shared" si="2"/>
        <v>3</v>
      </c>
      <c r="T20" s="8">
        <f t="shared" si="9"/>
        <v>46320</v>
      </c>
      <c r="U20" s="42">
        <v>45884</v>
      </c>
      <c r="V20" s="41" t="s">
        <v>48</v>
      </c>
      <c r="W20" s="74">
        <f t="shared" si="4"/>
        <v>40.000667779632721</v>
      </c>
      <c r="X20" s="6" t="str">
        <f t="shared" si="5"/>
        <v>3</v>
      </c>
      <c r="Y20" s="8">
        <f t="shared" si="6"/>
        <v>46980</v>
      </c>
      <c r="Z20" s="42">
        <v>45307</v>
      </c>
      <c r="AA20" s="3" t="s">
        <v>497</v>
      </c>
      <c r="AB20" s="8">
        <f t="shared" si="7"/>
        <v>46038</v>
      </c>
      <c r="AC20" s="41" t="s">
        <v>540</v>
      </c>
      <c r="AD20" s="41" t="s">
        <v>546</v>
      </c>
      <c r="AE20" s="41" t="s">
        <v>547</v>
      </c>
      <c r="AF20" s="41"/>
      <c r="AG20" s="41"/>
    </row>
    <row r="21" spans="2:33" ht="80" x14ac:dyDescent="0.35">
      <c r="B21" s="41" t="s">
        <v>548</v>
      </c>
      <c r="C21" s="41" t="s">
        <v>549</v>
      </c>
      <c r="D21" s="41" t="s">
        <v>538</v>
      </c>
      <c r="E21" s="39"/>
      <c r="F21" s="65" t="str">
        <f ca="1">IF(Tableau32[[#This Row],[Date d''expiration ]]&gt;TODAY()+31,"✅",IF(Tableau32[[#This Row],[Date d''expiration ]]&gt; TODAY()+1, "⚠️","⛔️"))</f>
        <v>⛔️</v>
      </c>
      <c r="G21" s="8">
        <f t="shared" si="8"/>
        <v>45990</v>
      </c>
      <c r="H21" s="62" t="s">
        <v>550</v>
      </c>
      <c r="I21" s="6">
        <v>34700</v>
      </c>
      <c r="J21" s="74">
        <f t="shared" ca="1" si="0"/>
        <v>31.679671457905545</v>
      </c>
      <c r="K21" s="74">
        <f>YEARFRAC(I21,RG_DRH_S1_008!$E$4,1)</f>
        <v>30.997262209661752</v>
      </c>
      <c r="L21" s="74">
        <f>YEARFRAC(I21,RG_DRH_S1_008!$E$5,1)</f>
        <v>31.997262149212869</v>
      </c>
      <c r="M21" s="41" t="s">
        <v>495</v>
      </c>
      <c r="N21" s="41" t="s">
        <v>545</v>
      </c>
      <c r="O21" s="41" t="s">
        <v>539</v>
      </c>
      <c r="P21" s="42">
        <v>46003</v>
      </c>
      <c r="Q21" s="41" t="s">
        <v>47</v>
      </c>
      <c r="R21" s="74">
        <f t="shared" si="1"/>
        <v>30.945244193235009</v>
      </c>
      <c r="S21" s="19" t="str">
        <f t="shared" si="2"/>
        <v>4</v>
      </c>
      <c r="T21" s="8">
        <f t="shared" si="9"/>
        <v>47464</v>
      </c>
      <c r="U21" s="42">
        <v>45600</v>
      </c>
      <c r="V21" s="41" t="s">
        <v>48</v>
      </c>
      <c r="W21" s="74">
        <f t="shared" si="4"/>
        <v>29.841211899981751</v>
      </c>
      <c r="X21" s="6" t="str">
        <f t="shared" si="5"/>
        <v>4</v>
      </c>
      <c r="Y21" s="8">
        <f t="shared" ref="Y21:Y28" si="10">EDATE(U21, (12*X21))</f>
        <v>47061</v>
      </c>
      <c r="Z21" s="42">
        <v>45259</v>
      </c>
      <c r="AA21" s="3" t="s">
        <v>504</v>
      </c>
      <c r="AB21" s="8">
        <f t="shared" si="7"/>
        <v>45990</v>
      </c>
      <c r="AC21" s="41" t="s">
        <v>551</v>
      </c>
      <c r="AD21" s="41" t="s">
        <v>552</v>
      </c>
      <c r="AE21" s="41" t="s">
        <v>553</v>
      </c>
      <c r="AF21" s="41"/>
      <c r="AG21" s="41"/>
    </row>
    <row r="22" spans="2:33" ht="80" x14ac:dyDescent="0.35">
      <c r="B22" s="41" t="s">
        <v>554</v>
      </c>
      <c r="C22" s="41" t="s">
        <v>555</v>
      </c>
      <c r="D22" s="41" t="s">
        <v>538</v>
      </c>
      <c r="E22" s="39"/>
      <c r="F22" s="65" t="str">
        <f ca="1">IF(Tableau32[[#This Row],[Date d''expiration ]]&gt;TODAY()+31,"✅",IF(Tableau32[[#This Row],[Date d''expiration ]]&gt; TODAY()+1, "⚠️","⛔️"))</f>
        <v>⛔️</v>
      </c>
      <c r="G22" s="8">
        <f t="shared" si="8"/>
        <v>45984</v>
      </c>
      <c r="H22" s="40" t="str">
        <f ca="1">IF( Tableau32[[#This Row],[Date d''expiration ]]&gt;TODAY(),"Néant","Cas à justifier")</f>
        <v>Cas à justifier</v>
      </c>
      <c r="I22" s="6">
        <v>34564</v>
      </c>
      <c r="J22" s="74">
        <f t="shared" ca="1" si="0"/>
        <v>32.052683979092343</v>
      </c>
      <c r="K22" s="74">
        <f>YEARFRAC(I22,RG_DRH_S1_008!$E$4,1)</f>
        <v>31.370294318959616</v>
      </c>
      <c r="L22" s="74">
        <f>YEARFRAC(I22,RG_DRH_S1_008!$E$5,1)</f>
        <v>32.370281257778146</v>
      </c>
      <c r="M22" s="41" t="s">
        <v>495</v>
      </c>
      <c r="N22" s="41" t="s">
        <v>104</v>
      </c>
      <c r="O22" s="41" t="s">
        <v>539</v>
      </c>
      <c r="P22" s="42">
        <v>45217</v>
      </c>
      <c r="Q22" s="41" t="s">
        <v>47</v>
      </c>
      <c r="R22" s="74">
        <f t="shared" si="1"/>
        <v>29.167655380122294</v>
      </c>
      <c r="S22" s="19" t="str">
        <f t="shared" si="2"/>
        <v>4</v>
      </c>
      <c r="T22" s="8">
        <f t="shared" si="9"/>
        <v>46678</v>
      </c>
      <c r="U22" s="42">
        <v>44874</v>
      </c>
      <c r="V22" s="41" t="s">
        <v>48</v>
      </c>
      <c r="W22" s="74">
        <f t="shared" si="4"/>
        <v>28.227907854984895</v>
      </c>
      <c r="X22" s="6" t="str">
        <f t="shared" si="5"/>
        <v>4</v>
      </c>
      <c r="Y22" s="8">
        <f t="shared" si="10"/>
        <v>46335</v>
      </c>
      <c r="Z22" s="42">
        <v>45253</v>
      </c>
      <c r="AA22" s="3" t="s">
        <v>504</v>
      </c>
      <c r="AB22" s="8">
        <f t="shared" si="7"/>
        <v>45984</v>
      </c>
      <c r="AC22" s="41" t="s">
        <v>556</v>
      </c>
      <c r="AD22" s="41" t="s">
        <v>557</v>
      </c>
      <c r="AE22" s="41" t="s">
        <v>558</v>
      </c>
      <c r="AF22" s="41"/>
      <c r="AG22" s="41"/>
    </row>
    <row r="23" spans="2:33" ht="80" x14ac:dyDescent="0.35">
      <c r="B23" s="41" t="s">
        <v>559</v>
      </c>
      <c r="C23" s="41" t="s">
        <v>560</v>
      </c>
      <c r="D23" s="41" t="s">
        <v>538</v>
      </c>
      <c r="E23" s="39"/>
      <c r="F23" s="65" t="str">
        <f ca="1">IF(Tableau32[[#This Row],[Date d''expiration ]]&gt;TODAY()+31,"✅",IF(Tableau32[[#This Row],[Date d''expiration ]]&gt; TODAY()+1, "⚠️","⛔️"))</f>
        <v>⛔️</v>
      </c>
      <c r="G23" s="8">
        <f t="shared" si="8"/>
        <v>46045</v>
      </c>
      <c r="H23" s="40" t="str">
        <f ca="1">IF( Tableau32[[#This Row],[Date d''expiration ]]&gt;TODAY(),"Néant","Cas à justifier")</f>
        <v>Cas à justifier</v>
      </c>
      <c r="I23" s="6">
        <v>31828</v>
      </c>
      <c r="J23" s="74">
        <f t="shared" ca="1" si="0"/>
        <v>39.54277891854894</v>
      </c>
      <c r="K23" s="74">
        <f>YEARFRAC(I23,RG_DRH_S1_008!$E$4,1)</f>
        <v>38.860372060372057</v>
      </c>
      <c r="L23" s="74">
        <f>YEARFRAC(I23,RG_DRH_S1_008!$E$5,1)</f>
        <v>39.860369609856264</v>
      </c>
      <c r="M23" s="41" t="s">
        <v>495</v>
      </c>
      <c r="N23" s="41" t="s">
        <v>545</v>
      </c>
      <c r="O23" s="41" t="s">
        <v>539</v>
      </c>
      <c r="P23" s="42">
        <v>45544</v>
      </c>
      <c r="Q23" s="41" t="s">
        <v>47</v>
      </c>
      <c r="R23" s="74">
        <f t="shared" si="1"/>
        <v>37.551008645533145</v>
      </c>
      <c r="S23" s="19" t="str">
        <f t="shared" si="2"/>
        <v>4</v>
      </c>
      <c r="T23" s="8">
        <f t="shared" si="9"/>
        <v>47005</v>
      </c>
      <c r="U23" s="42">
        <v>45825</v>
      </c>
      <c r="V23" s="41" t="s">
        <v>48</v>
      </c>
      <c r="W23" s="74">
        <f t="shared" si="4"/>
        <v>38.321024921024922</v>
      </c>
      <c r="X23" s="6" t="str">
        <f t="shared" si="5"/>
        <v>4</v>
      </c>
      <c r="Y23" s="8">
        <f t="shared" si="10"/>
        <v>47286</v>
      </c>
      <c r="Z23" s="42">
        <v>45314</v>
      </c>
      <c r="AA23" s="3" t="s">
        <v>497</v>
      </c>
      <c r="AB23" s="8">
        <f t="shared" si="7"/>
        <v>46045</v>
      </c>
      <c r="AC23" s="41" t="s">
        <v>561</v>
      </c>
      <c r="AD23" s="41" t="s">
        <v>562</v>
      </c>
      <c r="AE23" s="41" t="s">
        <v>563</v>
      </c>
      <c r="AF23" s="41"/>
      <c r="AG23" s="41"/>
    </row>
    <row r="24" spans="2:33" ht="64" x14ac:dyDescent="0.35">
      <c r="B24" s="41" t="s">
        <v>564</v>
      </c>
      <c r="C24" s="41" t="s">
        <v>565</v>
      </c>
      <c r="D24" s="41" t="s">
        <v>538</v>
      </c>
      <c r="E24" s="39"/>
      <c r="F24" s="65" t="str">
        <f ca="1">IF(Tableau32[[#This Row],[Date d''expiration ]]&gt;TODAY()+31,"✅",IF(Tableau32[[#This Row],[Date d''expiration ]]&gt; TODAY()+1, "⚠️","⛔️"))</f>
        <v>✅</v>
      </c>
      <c r="G24" s="8">
        <f t="shared" si="8"/>
        <v>46361</v>
      </c>
      <c r="H24" s="40" t="str">
        <f ca="1">IF( Tableau32[[#This Row],[Date d''expiration ]]&gt;TODAY(),"Néant","Cas à justifier")</f>
        <v>Néant</v>
      </c>
      <c r="I24" s="6">
        <v>34682</v>
      </c>
      <c r="J24" s="74">
        <f t="shared" ca="1" si="0"/>
        <v>31.729610885256783</v>
      </c>
      <c r="K24" s="74">
        <f>YEARFRAC(I24,RG_DRH_S1_008!$E$4,1)</f>
        <v>31.04722792607803</v>
      </c>
      <c r="L24" s="74">
        <f>YEARFRAC(I24,RG_DRH_S1_008!$E$5,1)</f>
        <v>32.047208163942585</v>
      </c>
      <c r="M24" s="41" t="s">
        <v>524</v>
      </c>
      <c r="N24" s="41" t="s">
        <v>566</v>
      </c>
      <c r="O24" s="41" t="s">
        <v>567</v>
      </c>
      <c r="P24" s="42">
        <v>45699</v>
      </c>
      <c r="Q24" s="41" t="s">
        <v>47</v>
      </c>
      <c r="R24" s="74">
        <f t="shared" si="1"/>
        <v>30.16290212183436</v>
      </c>
      <c r="S24" s="19" t="str">
        <f t="shared" si="2"/>
        <v>4</v>
      </c>
      <c r="T24" s="8">
        <f t="shared" si="9"/>
        <v>47160</v>
      </c>
      <c r="U24" s="42">
        <v>45322</v>
      </c>
      <c r="V24" s="41" t="s">
        <v>48</v>
      </c>
      <c r="W24" s="74">
        <f t="shared" si="4"/>
        <v>29.130089198975536</v>
      </c>
      <c r="X24" s="6" t="str">
        <f t="shared" si="5"/>
        <v>4</v>
      </c>
      <c r="Y24" s="8">
        <f t="shared" si="10"/>
        <v>46783</v>
      </c>
      <c r="Z24" s="42">
        <v>45631</v>
      </c>
      <c r="AA24" s="3" t="s">
        <v>497</v>
      </c>
      <c r="AB24" s="8">
        <f t="shared" si="7"/>
        <v>46361</v>
      </c>
      <c r="AC24" s="73" t="s">
        <v>526</v>
      </c>
      <c r="AD24" s="41" t="s">
        <v>568</v>
      </c>
      <c r="AE24" s="41"/>
      <c r="AF24" s="41"/>
      <c r="AG24" s="41"/>
    </row>
    <row r="25" spans="2:33" ht="48" x14ac:dyDescent="0.35">
      <c r="B25" s="41" t="s">
        <v>569</v>
      </c>
      <c r="C25" s="41" t="s">
        <v>570</v>
      </c>
      <c r="D25" s="41" t="s">
        <v>538</v>
      </c>
      <c r="E25" s="39"/>
      <c r="F25" s="65" t="str">
        <f ca="1">IF(Tableau32[[#This Row],[Date d''expiration ]]&gt;TODAY()+31,"✅",IF(Tableau32[[#This Row],[Date d''expiration ]]&gt; TODAY()+1, "⚠️","⛔️"))</f>
        <v>✅</v>
      </c>
      <c r="G25" s="8">
        <f t="shared" si="8"/>
        <v>46382</v>
      </c>
      <c r="H25" s="40" t="str">
        <f ca="1">IF( Tableau32[[#This Row],[Date d''expiration ]]&gt;TODAY(),"Néant","Cas à justifier")</f>
        <v>Néant</v>
      </c>
      <c r="I25" s="6">
        <v>31878</v>
      </c>
      <c r="J25" s="74">
        <f t="shared" ca="1" si="0"/>
        <v>39.405886379192332</v>
      </c>
      <c r="K25" s="74">
        <f>YEARFRAC(I25,RG_DRH_S1_008!$E$4,1)</f>
        <v>38.72348192348192</v>
      </c>
      <c r="L25" s="74">
        <f>YEARFRAC(I25,RG_DRH_S1_008!$E$5,1)</f>
        <v>39.723477070499655</v>
      </c>
      <c r="M25" s="41" t="s">
        <v>495</v>
      </c>
      <c r="N25" s="41" t="s">
        <v>191</v>
      </c>
      <c r="O25" s="41" t="s">
        <v>58</v>
      </c>
      <c r="P25" s="42">
        <v>45322</v>
      </c>
      <c r="Q25" s="41" t="s">
        <v>47</v>
      </c>
      <c r="R25" s="74">
        <f t="shared" si="1"/>
        <v>36.806340057636888</v>
      </c>
      <c r="S25" s="6" t="str">
        <f t="shared" si="2"/>
        <v>4</v>
      </c>
      <c r="T25" s="8">
        <f t="shared" si="9"/>
        <v>46783</v>
      </c>
      <c r="U25" s="42">
        <v>45316</v>
      </c>
      <c r="V25" s="41" t="s">
        <v>48</v>
      </c>
      <c r="W25" s="74">
        <f t="shared" si="4"/>
        <v>36.789913544668593</v>
      </c>
      <c r="X25" s="6" t="str">
        <f t="shared" si="5"/>
        <v>4</v>
      </c>
      <c r="Y25" s="8">
        <f t="shared" si="10"/>
        <v>46777</v>
      </c>
      <c r="Z25" s="42">
        <v>45652</v>
      </c>
      <c r="AA25" s="3" t="s">
        <v>504</v>
      </c>
      <c r="AB25" s="8">
        <f t="shared" si="7"/>
        <v>46382</v>
      </c>
      <c r="AC25" s="72" t="s">
        <v>526</v>
      </c>
      <c r="AD25" s="41" t="s">
        <v>571</v>
      </c>
      <c r="AE25" s="41" t="s">
        <v>572</v>
      </c>
      <c r="AF25" s="41"/>
      <c r="AG25" s="41"/>
    </row>
    <row r="26" spans="2:33" ht="34.5" x14ac:dyDescent="0.35">
      <c r="B26" s="41" t="s">
        <v>573</v>
      </c>
      <c r="C26" s="41" t="s">
        <v>574</v>
      </c>
      <c r="D26" s="41" t="s">
        <v>60</v>
      </c>
      <c r="E26" s="39"/>
      <c r="F26" s="65" t="str">
        <f ca="1">IF(Tableau32[[#This Row],[Date d''expiration ]]&gt;TODAY()+31,"✅",IF(Tableau32[[#This Row],[Date d''expiration ]]&gt; TODAY()+1, "⚠️","⛔️"))</f>
        <v>⛔️</v>
      </c>
      <c r="G26" s="8">
        <f t="shared" si="8"/>
        <v>46040</v>
      </c>
      <c r="H26" s="40" t="str">
        <f ca="1">IF( Tableau32[[#This Row],[Date d''expiration ]]&gt;TODAY(),"Néant","Cas à justifier")</f>
        <v>Cas à justifier</v>
      </c>
      <c r="I26" s="6">
        <v>31024</v>
      </c>
      <c r="J26" s="74">
        <f t="shared" ca="1" si="0"/>
        <v>41.743346491786582</v>
      </c>
      <c r="K26" s="74">
        <f>YEARFRAC(I26,RG_DRH_S1_008!$E$4,1)</f>
        <v>41.060947786976079</v>
      </c>
      <c r="L26" s="74">
        <f>YEARFRAC(I26,RG_DRH_S1_008!$E$5,1)</f>
        <v>42.060932127849227</v>
      </c>
      <c r="M26" s="41" t="s">
        <v>495</v>
      </c>
      <c r="N26" s="41" t="s">
        <v>50</v>
      </c>
      <c r="O26" s="41" t="s">
        <v>61</v>
      </c>
      <c r="P26" s="42">
        <v>45334</v>
      </c>
      <c r="Q26" s="41" t="s">
        <v>47</v>
      </c>
      <c r="R26" s="74">
        <f t="shared" si="1"/>
        <v>39.176682692307693</v>
      </c>
      <c r="S26" s="19" t="str">
        <f t="shared" si="2"/>
        <v>3</v>
      </c>
      <c r="T26" s="8">
        <f t="shared" si="9"/>
        <v>46430</v>
      </c>
      <c r="U26" s="42">
        <v>45084</v>
      </c>
      <c r="V26" s="41" t="s">
        <v>48</v>
      </c>
      <c r="W26" s="74">
        <f t="shared" si="4"/>
        <v>38.494182067077347</v>
      </c>
      <c r="X26" s="6" t="str">
        <f t="shared" si="5"/>
        <v>3</v>
      </c>
      <c r="Y26" s="8">
        <f t="shared" si="10"/>
        <v>46180</v>
      </c>
      <c r="Z26" s="42">
        <v>45309</v>
      </c>
      <c r="AA26" s="3" t="s">
        <v>497</v>
      </c>
      <c r="AB26" s="8">
        <f t="shared" si="7"/>
        <v>46040</v>
      </c>
      <c r="AC26" s="41">
        <v>0</v>
      </c>
      <c r="AD26" s="41">
        <v>0</v>
      </c>
      <c r="AE26" s="41"/>
      <c r="AF26" s="41"/>
      <c r="AG26" s="41"/>
    </row>
    <row r="27" spans="2:33" ht="34.5" x14ac:dyDescent="0.35">
      <c r="B27" s="41" t="s">
        <v>575</v>
      </c>
      <c r="C27" s="41" t="s">
        <v>576</v>
      </c>
      <c r="D27" s="41" t="s">
        <v>60</v>
      </c>
      <c r="E27" s="39"/>
      <c r="F27" s="65" t="str">
        <f ca="1">IF(Tableau32[[#This Row],[Date d''expiration ]]&gt;TODAY()+31,"✅",IF(Tableau32[[#This Row],[Date d''expiration ]]&gt; TODAY()+1, "⚠️","⛔️"))</f>
        <v>⛔️</v>
      </c>
      <c r="G27" s="8">
        <f t="shared" si="8"/>
        <v>46038</v>
      </c>
      <c r="H27" s="40" t="str">
        <f ca="1">IF( Tableau32[[#This Row],[Date d''expiration ]]&gt;TODAY(),"Néant","Cas à justifier")</f>
        <v>Cas à justifier</v>
      </c>
      <c r="I27" s="6">
        <v>31126</v>
      </c>
      <c r="J27" s="74">
        <f t="shared" ca="1" si="0"/>
        <v>41.466101694915253</v>
      </c>
      <c r="K27" s="74">
        <f>YEARFRAC(I27,RG_DRH_S1_008!$E$4,1)</f>
        <v>40.783706176961601</v>
      </c>
      <c r="L27" s="74">
        <f>YEARFRAC(I27,RG_DRH_S1_008!$E$5,1)</f>
        <v>41.783702737940025</v>
      </c>
      <c r="M27" s="41" t="s">
        <v>495</v>
      </c>
      <c r="N27" s="41" t="s">
        <v>50</v>
      </c>
      <c r="O27" s="41" t="s">
        <v>61</v>
      </c>
      <c r="P27" s="42">
        <v>45779</v>
      </c>
      <c r="Q27" s="41" t="s">
        <v>47</v>
      </c>
      <c r="R27" s="74">
        <f t="shared" si="1"/>
        <v>40.118397328881471</v>
      </c>
      <c r="S27" s="19" t="str">
        <f t="shared" si="2"/>
        <v>3</v>
      </c>
      <c r="T27" s="8">
        <f t="shared" si="9"/>
        <v>46875</v>
      </c>
      <c r="U27" s="42">
        <v>45083</v>
      </c>
      <c r="V27" s="41" t="s">
        <v>48</v>
      </c>
      <c r="W27" s="74">
        <f t="shared" si="4"/>
        <v>38.21419545071609</v>
      </c>
      <c r="X27" s="6" t="str">
        <f t="shared" si="5"/>
        <v>3</v>
      </c>
      <c r="Y27" s="8">
        <f t="shared" si="10"/>
        <v>46179</v>
      </c>
      <c r="Z27" s="42">
        <v>45307</v>
      </c>
      <c r="AA27" s="3" t="s">
        <v>497</v>
      </c>
      <c r="AB27" s="8">
        <f t="shared" si="7"/>
        <v>46038</v>
      </c>
      <c r="AC27" s="41" t="s">
        <v>509</v>
      </c>
      <c r="AD27" s="41" t="s">
        <v>577</v>
      </c>
      <c r="AE27" s="41"/>
      <c r="AF27" s="41"/>
      <c r="AG27" s="41"/>
    </row>
    <row r="28" spans="2:33" ht="34.5" x14ac:dyDescent="0.35">
      <c r="B28" s="41" t="s">
        <v>578</v>
      </c>
      <c r="C28" s="41" t="s">
        <v>579</v>
      </c>
      <c r="D28" s="41" t="s">
        <v>60</v>
      </c>
      <c r="E28" s="39"/>
      <c r="F28" s="65" t="str">
        <f ca="1">IF(Tableau32[[#This Row],[Date d''expiration ]]&gt;TODAY()+31,"✅",IF(Tableau32[[#This Row],[Date d''expiration ]]&gt; TODAY()+1, "⚠️","⛔️"))</f>
        <v>✅</v>
      </c>
      <c r="G28" s="8">
        <f t="shared" si="8"/>
        <v>47091</v>
      </c>
      <c r="H28" s="40" t="str">
        <f ca="1">IF( Tableau32[[#This Row],[Date d''expiration ]]&gt;TODAY(),"Néant","Cas à justifier")</f>
        <v>Néant</v>
      </c>
      <c r="I28" s="6">
        <v>33380</v>
      </c>
      <c r="J28" s="74">
        <f t="shared" ca="1" si="0"/>
        <v>35.293634496919921</v>
      </c>
      <c r="K28" s="74">
        <f>YEARFRAC(I28,RG_DRH_S1_008!$E$4,1)</f>
        <v>34.611232790988737</v>
      </c>
      <c r="L28" s="74">
        <f>YEARFRAC(I28,RG_DRH_S1_008!$E$5,1)</f>
        <v>35.611225188227245</v>
      </c>
      <c r="M28" s="41" t="s">
        <v>495</v>
      </c>
      <c r="N28" s="41" t="s">
        <v>50</v>
      </c>
      <c r="O28" s="41" t="s">
        <v>61</v>
      </c>
      <c r="P28" s="42">
        <v>45630</v>
      </c>
      <c r="Q28" s="41" t="s">
        <v>47</v>
      </c>
      <c r="R28" s="74">
        <f t="shared" si="1"/>
        <v>33.537321845559227</v>
      </c>
      <c r="S28" s="19" t="str">
        <f t="shared" si="2"/>
        <v>4</v>
      </c>
      <c r="T28" s="8">
        <f t="shared" si="9"/>
        <v>47091</v>
      </c>
      <c r="U28" s="42">
        <v>45630</v>
      </c>
      <c r="V28" s="41" t="s">
        <v>48</v>
      </c>
      <c r="W28" s="74">
        <f t="shared" si="4"/>
        <v>33.537321845559227</v>
      </c>
      <c r="X28" s="6" t="str">
        <f t="shared" si="5"/>
        <v>4</v>
      </c>
      <c r="Y28" s="8">
        <f t="shared" si="10"/>
        <v>47091</v>
      </c>
      <c r="Z28" s="41"/>
      <c r="AA28" s="3"/>
      <c r="AB28" s="9"/>
      <c r="AC28" s="41" t="s">
        <v>580</v>
      </c>
      <c r="AD28" s="41" t="s">
        <v>581</v>
      </c>
      <c r="AE28" s="41"/>
      <c r="AF28" s="41"/>
      <c r="AG28" s="41"/>
    </row>
    <row r="29" spans="2:33" ht="48" x14ac:dyDescent="0.35">
      <c r="B29" s="41" t="s">
        <v>582</v>
      </c>
      <c r="C29" s="41" t="s">
        <v>583</v>
      </c>
      <c r="D29" s="41" t="s">
        <v>453</v>
      </c>
      <c r="E29" s="39"/>
      <c r="F29" s="65" t="str">
        <f ca="1">IF(Tableau32[[#This Row],[Date d''expiration ]]&gt;TODAY()+31,"✅",IF(Tableau32[[#This Row],[Date d''expiration ]]&gt; TODAY()+1, "⚠️","⛔️"))</f>
        <v>⛔️</v>
      </c>
      <c r="G29" s="8">
        <f>MIN(T29,Y29,AB29)</f>
        <v>45984</v>
      </c>
      <c r="H29" s="40" t="str">
        <f ca="1">IF( Tableau32[[#This Row],[Date d''expiration ]]&gt;TODAY(),"Néant","Cas à justifier")</f>
        <v>Cas à justifier</v>
      </c>
      <c r="I29" s="6">
        <v>31391</v>
      </c>
      <c r="J29" s="74">
        <f ca="1">YEARFRAC(I29,TODAY(),1)</f>
        <v>40.740547588005214</v>
      </c>
      <c r="K29" s="74">
        <f>YEARFRAC(I29,RG_DRH_S1_008!$E$4,1)</f>
        <v>40.058163606010019</v>
      </c>
      <c r="L29" s="74">
        <f>YEARFRAC(I29,RG_DRH_S1_008!$E$5,1)</f>
        <v>41.058148631029987</v>
      </c>
      <c r="M29" s="41" t="s">
        <v>495</v>
      </c>
      <c r="N29" s="41" t="s">
        <v>50</v>
      </c>
      <c r="O29" s="41" t="s">
        <v>51</v>
      </c>
      <c r="P29" s="42">
        <v>44957</v>
      </c>
      <c r="Q29" s="41" t="s">
        <v>47</v>
      </c>
      <c r="R29" s="74">
        <f>YEARFRAC(I29,P29,1)</f>
        <v>37.143639427127212</v>
      </c>
      <c r="S29" s="19" t="str">
        <f>IF(L29&lt;40,"4",IF(L29&lt;50,"3",IF(L29&lt;55,"2","1")))</f>
        <v>3</v>
      </c>
      <c r="T29" s="8">
        <f>EDATE(P29, (12*S29))</f>
        <v>46053</v>
      </c>
      <c r="U29" s="42">
        <v>44957</v>
      </c>
      <c r="V29" s="41" t="s">
        <v>48</v>
      </c>
      <c r="W29" s="74">
        <f>YEARFRAC(I29,U29,1)</f>
        <v>37.143639427127212</v>
      </c>
      <c r="X29" s="6" t="str">
        <f>IF(L29&lt;40,"4",IF(L29&lt;55,"3","1"))</f>
        <v>3</v>
      </c>
      <c r="Y29" s="8">
        <f>EDATE(U29, (12*X29))</f>
        <v>46053</v>
      </c>
      <c r="Z29" s="42">
        <v>45253</v>
      </c>
      <c r="AA29" s="3" t="s">
        <v>504</v>
      </c>
      <c r="AB29" s="8">
        <f>EDATE(Z29, 24)</f>
        <v>45984</v>
      </c>
      <c r="AC29" s="41"/>
      <c r="AD29" s="41" t="s">
        <v>584</v>
      </c>
      <c r="AE29" s="41"/>
      <c r="AF29" s="41"/>
      <c r="AG29" s="41"/>
    </row>
    <row r="30" spans="2:33" ht="34.5" x14ac:dyDescent="0.35">
      <c r="B30" s="41" t="s">
        <v>585</v>
      </c>
      <c r="C30" s="41" t="s">
        <v>586</v>
      </c>
      <c r="D30" s="41" t="s">
        <v>453</v>
      </c>
      <c r="E30" s="39"/>
      <c r="F30" s="65" t="str">
        <f ca="1">IF(Tableau32[[#This Row],[Date d''expiration ]]&gt;TODAY()+31,"✅",IF(Tableau32[[#This Row],[Date d''expiration ]]&gt; TODAY()+1, "⚠️","⛔️"))</f>
        <v>⛔️</v>
      </c>
      <c r="G30" s="8">
        <f>MIN(T30,Y30,AB30)</f>
        <v>46041</v>
      </c>
      <c r="H30" s="40" t="str">
        <f ca="1">IF( Tableau32[[#This Row],[Date d''expiration ]]&gt;TODAY(),"Néant","Cas à justifier")</f>
        <v>Cas à justifier</v>
      </c>
      <c r="I30" s="6">
        <v>31427</v>
      </c>
      <c r="J30" s="74">
        <f ca="1">YEARFRAC(I30,TODAY(),1)</f>
        <v>40.641335559265443</v>
      </c>
      <c r="K30" s="74">
        <f>YEARFRAC(I30,RG_DRH_S1_008!$E$4,1)</f>
        <v>39.958932238193022</v>
      </c>
      <c r="L30" s="74">
        <f>YEARFRAC(I30,RG_DRH_S1_008!$E$5,1)</f>
        <v>40.958931552587643</v>
      </c>
      <c r="M30" s="41" t="s">
        <v>495</v>
      </c>
      <c r="N30" s="41" t="s">
        <v>50</v>
      </c>
      <c r="O30" s="41" t="s">
        <v>51</v>
      </c>
      <c r="P30" s="42">
        <v>44973</v>
      </c>
      <c r="Q30" s="41" t="s">
        <v>47</v>
      </c>
      <c r="R30" s="74">
        <f>YEARFRAC(I30,P30,1)</f>
        <v>37.088262843144314</v>
      </c>
      <c r="S30" s="19" t="str">
        <f>IF(L30&lt;40,"4",IF(L30&lt;50,"3",IF(L30&lt;55,"2","1")))</f>
        <v>3</v>
      </c>
      <c r="T30" s="8">
        <f>EDATE(P30, (12*S30))</f>
        <v>46069</v>
      </c>
      <c r="U30" s="42">
        <v>44973</v>
      </c>
      <c r="V30" s="41" t="s">
        <v>48</v>
      </c>
      <c r="W30" s="74">
        <f>YEARFRAC(I30,U30,1)</f>
        <v>37.088262843144314</v>
      </c>
      <c r="X30" s="6" t="str">
        <f>IF(L30&lt;40,"4",IF(L30&lt;55,"3","1"))</f>
        <v>3</v>
      </c>
      <c r="Y30" s="8">
        <f>EDATE(U30, (12*X30))</f>
        <v>46069</v>
      </c>
      <c r="Z30" s="42">
        <v>45310</v>
      </c>
      <c r="AA30" s="3" t="s">
        <v>497</v>
      </c>
      <c r="AB30" s="8">
        <f>EDATE(Z30, 24)</f>
        <v>46041</v>
      </c>
      <c r="AC30" s="41">
        <v>0</v>
      </c>
      <c r="AD30" s="41" t="s">
        <v>587</v>
      </c>
      <c r="AE30" s="41"/>
      <c r="AF30" s="41"/>
      <c r="AG30" s="41"/>
    </row>
    <row r="31" spans="2:33" ht="34.5" x14ac:dyDescent="0.35">
      <c r="B31" s="41" t="s">
        <v>588</v>
      </c>
      <c r="C31" s="41" t="s">
        <v>589</v>
      </c>
      <c r="D31" s="41" t="s">
        <v>453</v>
      </c>
      <c r="E31" s="39"/>
      <c r="F31" s="65" t="str">
        <f ca="1">IF(Tableau32[[#This Row],[Date d''expiration ]]&gt;TODAY()+31,"✅",IF(Tableau32[[#This Row],[Date d''expiration ]]&gt; TODAY()+1, "⚠️","⛔️"))</f>
        <v>⛔️</v>
      </c>
      <c r="G31" s="8">
        <f>MIN(T31,Y31,AB31)</f>
        <v>46037</v>
      </c>
      <c r="H31" s="40" t="str">
        <f ca="1">IF( Tableau32[[#This Row],[Date d''expiration ]]&gt;TODAY(),"Néant","Cas à justifier")</f>
        <v>Cas à justifier</v>
      </c>
      <c r="I31" s="6">
        <v>30556</v>
      </c>
      <c r="J31" s="74">
        <f ca="1">YEARFRAC(I31,TODAY(),1)</f>
        <v>43.025325119780973</v>
      </c>
      <c r="K31" s="74">
        <f>YEARFRAC(I31,RG_DRH_S1_008!$E$4,1)</f>
        <v>42.342926270215202</v>
      </c>
      <c r="L31" s="74">
        <f>YEARFRAC(I31,RG_DRH_S1_008!$E$5,1)</f>
        <v>43.342915811088297</v>
      </c>
      <c r="M31" s="41" t="s">
        <v>495</v>
      </c>
      <c r="N31" s="41" t="s">
        <v>50</v>
      </c>
      <c r="O31" s="41" t="s">
        <v>51</v>
      </c>
      <c r="P31" s="42">
        <v>44966</v>
      </c>
      <c r="Q31" s="41" t="s">
        <v>47</v>
      </c>
      <c r="R31" s="74">
        <f>YEARFRAC(I31,P31,1)</f>
        <v>39.453088480801334</v>
      </c>
      <c r="S31" s="19" t="str">
        <f>IF(L31&lt;40,"4",IF(L31&lt;50,"3",IF(L31&lt;55,"2","1")))</f>
        <v>3</v>
      </c>
      <c r="T31" s="8">
        <f>EDATE(P31, (12*S31))</f>
        <v>46062</v>
      </c>
      <c r="U31" s="42">
        <v>45307</v>
      </c>
      <c r="V31" s="41" t="s">
        <v>48</v>
      </c>
      <c r="W31" s="74">
        <f>YEARFRAC(I31,U31,1)</f>
        <v>40.384720683136692</v>
      </c>
      <c r="X31" s="6" t="str">
        <f>IF(L31&lt;40,"4",IF(L31&lt;55,"3","1"))</f>
        <v>3</v>
      </c>
      <c r="Y31" s="8">
        <f>EDATE(U31, (12*X31))</f>
        <v>46403</v>
      </c>
      <c r="Z31" s="42">
        <v>45306</v>
      </c>
      <c r="AA31" s="3" t="s">
        <v>497</v>
      </c>
      <c r="AB31" s="8">
        <f>EDATE(Z31, 24)</f>
        <v>46037</v>
      </c>
      <c r="AC31" s="41" t="s">
        <v>590</v>
      </c>
      <c r="AD31" s="41" t="s">
        <v>591</v>
      </c>
      <c r="AE31" s="41"/>
      <c r="AF31" s="41"/>
      <c r="AG31" s="41"/>
    </row>
    <row r="32" spans="2:33" ht="48" x14ac:dyDescent="0.35">
      <c r="B32" s="41" t="s">
        <v>592</v>
      </c>
      <c r="C32" s="41" t="s">
        <v>593</v>
      </c>
      <c r="D32" s="41" t="s">
        <v>453</v>
      </c>
      <c r="E32" s="39"/>
      <c r="F32" s="65" t="str">
        <f ca="1">IF(Tableau32[[#This Row],[Date d''expiration ]]&gt;TODAY()+31,"✅",IF(Tableau32[[#This Row],[Date d''expiration ]]&gt; TODAY()+1, "⚠️","⛔️"))</f>
        <v>✅</v>
      </c>
      <c r="G32" s="6">
        <f>MIN(T32,Y32,AB32)</f>
        <v>46382</v>
      </c>
      <c r="H32" s="40" t="str">
        <f ca="1">IF( Tableau32[[#This Row],[Date d''expiration ]]&gt;TODAY(),"Néant","Cas à justifier")</f>
        <v>Néant</v>
      </c>
      <c r="I32" s="6">
        <v>32503</v>
      </c>
      <c r="J32" s="75">
        <f ca="1">YEARFRAC(I32,TODAY(),1)</f>
        <v>37.694068094068093</v>
      </c>
      <c r="K32" s="75">
        <f>YEARFRAC(I32,RG_DRH_S1_008!$E$4,1)</f>
        <v>37.011671469740634</v>
      </c>
      <c r="L32" s="75">
        <f>YEARFRAC(I32,RG_DRH_S1_008!$E$5,1)</f>
        <v>38.011653211653211</v>
      </c>
      <c r="M32" s="41" t="s">
        <v>495</v>
      </c>
      <c r="N32" s="41" t="s">
        <v>50</v>
      </c>
      <c r="O32" s="41" t="s">
        <v>51</v>
      </c>
      <c r="P32" s="42">
        <v>45695</v>
      </c>
      <c r="Q32" s="41" t="s">
        <v>47</v>
      </c>
      <c r="R32" s="75">
        <f>YEARFRAC(I32,P32,1)</f>
        <v>36.116426512968303</v>
      </c>
      <c r="S32" s="6" t="str">
        <f>IF(L32&lt;40,"4",IF(L32&lt;50,"3",IF(L32&lt;55,"2","1")))</f>
        <v>4</v>
      </c>
      <c r="T32" s="6">
        <f>EDATE(P32, (12*S32))</f>
        <v>47156</v>
      </c>
      <c r="U32" s="42">
        <v>44960</v>
      </c>
      <c r="V32" s="41" t="s">
        <v>48</v>
      </c>
      <c r="W32" s="75">
        <f>YEARFRAC(I32,U32,1)</f>
        <v>34.105407255304584</v>
      </c>
      <c r="X32" s="6" t="str">
        <f>IF(L32&lt;40,"4",IF(L32&lt;55,"3","1"))</f>
        <v>4</v>
      </c>
      <c r="Y32" s="6">
        <f>EDATE(U32, (12*X32))</f>
        <v>46421</v>
      </c>
      <c r="Z32" s="42">
        <v>45652</v>
      </c>
      <c r="AA32" s="3" t="s">
        <v>504</v>
      </c>
      <c r="AB32" s="6">
        <f>EDATE(Z32, 24)</f>
        <v>46382</v>
      </c>
      <c r="AC32" s="73" t="s">
        <v>526</v>
      </c>
      <c r="AD32" s="41" t="s">
        <v>587</v>
      </c>
      <c r="AE32" s="41"/>
      <c r="AF32" s="41"/>
      <c r="AG32" s="41"/>
    </row>
    <row r="33" spans="2:33" ht="64" x14ac:dyDescent="0.35">
      <c r="B33" s="41" t="s">
        <v>594</v>
      </c>
      <c r="C33" s="52" t="s">
        <v>595</v>
      </c>
      <c r="D33" s="41" t="s">
        <v>56</v>
      </c>
      <c r="E33" s="39"/>
      <c r="F33" s="65" t="str">
        <f ca="1">IF(Tableau3[[#This Row],[Date d''expiration ]]&gt;TODAY()+31,"✅",IF(Tableau3[[#This Row],[Date d''expiration ]]&gt; TODAY()+1, "⚠️","⛔️"))</f>
        <v>✅</v>
      </c>
      <c r="G33" s="6">
        <f t="shared" ref="G33" si="11">MIN(T33,Y33,AB33)</f>
        <v>46608</v>
      </c>
      <c r="H33" s="40" t="str">
        <f ca="1">IF( Tableau32[[#This Row],[Date d''expiration ]]&gt;TODAY(),"Néant","Cas à justifier")</f>
        <v>Néant</v>
      </c>
      <c r="I33" s="21">
        <v>33605</v>
      </c>
      <c r="J33" s="75">
        <f t="shared" ref="J33" ca="1" si="12">YEARFRAC(I33,TODAY(),1)</f>
        <v>34.676939924906129</v>
      </c>
      <c r="K33" s="75">
        <f>YEARFRAC(I33,RG_DRH_S1_008!$E$4,1)</f>
        <v>33.994524518882358</v>
      </c>
      <c r="L33" s="75">
        <f>YEARFRAC(I33,RG_DRH_S1_008!$E$5,1)</f>
        <v>34.99452440550688</v>
      </c>
      <c r="M33" s="3" t="s">
        <v>44</v>
      </c>
      <c r="N33" s="3" t="s">
        <v>596</v>
      </c>
      <c r="O33" s="3" t="s">
        <v>73</v>
      </c>
      <c r="P33" s="42">
        <v>45572</v>
      </c>
      <c r="Q33" s="41" t="s">
        <v>47</v>
      </c>
      <c r="R33" s="76">
        <f t="shared" ref="R33" si="13">YEARFRAC(I33,P33,1)</f>
        <v>32.761821801891493</v>
      </c>
      <c r="S33" s="19" t="str">
        <f>IF(L33&lt;40,"4",IF(L33&lt;50,"3",IF(L33&lt;55,IF(Tableau3[[#This Row],[Fonction]]="Conducteur de ligne","2","3"),"1")))</f>
        <v>4</v>
      </c>
      <c r="T33" s="6">
        <f t="shared" ref="T33" si="14">EDATE(P33, (12*S33))</f>
        <v>47033</v>
      </c>
      <c r="U33" s="42">
        <v>45147</v>
      </c>
      <c r="V33" s="41" t="s">
        <v>48</v>
      </c>
      <c r="W33" s="75">
        <f t="shared" ref="W33" si="15">YEARFRAC(I33,U33,1)</f>
        <v>31.600273785078713</v>
      </c>
      <c r="X33" s="6" t="str">
        <f>IF(L33&lt;40,"4",IF(L33&lt;55,"3",IF(Tableau3[[#This Row],[Fonction]]="conducteur de ligne","1","2")))</f>
        <v>4</v>
      </c>
      <c r="Y33" s="6">
        <f t="shared" ref="Y33" si="16">EDATE(U33, (12*X33))</f>
        <v>46608</v>
      </c>
      <c r="Z33" s="42"/>
      <c r="AA33" s="3"/>
      <c r="AB33" s="6"/>
      <c r="AC33" s="41"/>
      <c r="AD33" s="41"/>
      <c r="AE33" s="41"/>
      <c r="AF33" s="41"/>
      <c r="AG33" s="41"/>
    </row>
    <row r="34" spans="2:33" ht="48" x14ac:dyDescent="0.35">
      <c r="B34" s="41" t="s">
        <v>597</v>
      </c>
      <c r="C34" s="52" t="s">
        <v>598</v>
      </c>
      <c r="D34" s="41" t="s">
        <v>56</v>
      </c>
      <c r="E34" s="39"/>
      <c r="F34" s="65" t="str">
        <f ca="1">IF(Tableau3[[#This Row],[Date d''expiration ]]&gt;TODAY()+31,"✅",IF(Tableau3[[#This Row],[Date d''expiration ]]&gt; TODAY()+1, "⚠️","⛔️"))</f>
        <v>⛔️</v>
      </c>
      <c r="G34" s="6">
        <f>MIN(T34,Y34,AB34)</f>
        <v>46586</v>
      </c>
      <c r="H34" s="40" t="str">
        <f ca="1">IF( Tableau32[[#This Row],[Date d''expiration ]]&gt;TODAY(),"Néant","Cas à justifier")</f>
        <v>Néant</v>
      </c>
      <c r="I34" s="21">
        <v>34554</v>
      </c>
      <c r="J34" s="75">
        <f ca="1">YEARFRAC(I34,TODAY(),1)</f>
        <v>32.080063054841119</v>
      </c>
      <c r="K34" s="75">
        <f>YEARFRAC(I34,RG_DRH_S1_008!$E$4,1)</f>
        <v>31.397672826830938</v>
      </c>
      <c r="L34" s="75">
        <f>YEARFRAC(I34,RG_DRH_S1_008!$E$5,1)</f>
        <v>32.397660333526922</v>
      </c>
      <c r="M34" s="3" t="s">
        <v>44</v>
      </c>
      <c r="N34" s="3" t="s">
        <v>72</v>
      </c>
      <c r="O34" s="33" t="s">
        <v>58</v>
      </c>
      <c r="P34" s="42">
        <v>45125</v>
      </c>
      <c r="Q34" s="41" t="s">
        <v>47</v>
      </c>
      <c r="R34" s="76">
        <f>YEARFRAC(I34,P34,1)</f>
        <v>28.943141370813176</v>
      </c>
      <c r="S34" s="19" t="str">
        <f>IF(L34&lt;40,"4",IF(L34&lt;50,"3",IF(L34&lt;55,IF(Tableau3[[#This Row],[Fonction]]="Conducteur de ligne","2","3"),"1")))</f>
        <v>4</v>
      </c>
      <c r="T34" s="6">
        <f>EDATE(P34, (12*S34))</f>
        <v>46586</v>
      </c>
      <c r="U34" s="42">
        <v>45155</v>
      </c>
      <c r="V34" s="41" t="s">
        <v>48</v>
      </c>
      <c r="W34" s="75">
        <f>YEARFRAC(I34,U34,1)</f>
        <v>29.025280642511635</v>
      </c>
      <c r="X34" s="6" t="str">
        <f>IF(L34&lt;40,"4",IF(L34&lt;55,"3",IF(Tableau3[[#This Row],[Fonction]]="conducteur de ligne","1","2")))</f>
        <v>4</v>
      </c>
      <c r="Y34" s="6">
        <f>EDATE(U34, (12*X34))</f>
        <v>46616</v>
      </c>
      <c r="Z34" s="42"/>
      <c r="AA34" s="3"/>
      <c r="AB34" s="6"/>
      <c r="AC34" s="41"/>
      <c r="AD34" s="41"/>
      <c r="AE34" s="41"/>
      <c r="AF34" s="41"/>
      <c r="AG34" s="41"/>
    </row>
    <row r="35" spans="2:33" ht="16" x14ac:dyDescent="0.4">
      <c r="B35" s="175" t="s">
        <v>83</v>
      </c>
      <c r="C35" s="53" t="s">
        <v>84</v>
      </c>
      <c r="D35" s="53" t="s">
        <v>56</v>
      </c>
      <c r="E35" s="42">
        <v>45904</v>
      </c>
      <c r="F35" s="6"/>
      <c r="G35" s="6"/>
      <c r="H35" s="42"/>
      <c r="I35" s="3"/>
      <c r="J35" s="84"/>
      <c r="K35" s="84"/>
      <c r="L35" s="84"/>
      <c r="M35" s="41"/>
      <c r="N35" s="41"/>
      <c r="O35" s="41"/>
      <c r="P35" s="41"/>
      <c r="Q35" s="41"/>
      <c r="R35" s="84"/>
      <c r="S35" s="6"/>
      <c r="T35" s="3"/>
      <c r="U35" s="41"/>
      <c r="V35" s="41"/>
      <c r="W35" s="84"/>
      <c r="X35" s="6"/>
      <c r="Y35" s="3"/>
      <c r="Z35" s="41"/>
      <c r="AA35" s="3"/>
      <c r="AB35" s="3"/>
      <c r="AC35" s="41"/>
      <c r="AD35" s="41"/>
      <c r="AE35" s="41"/>
      <c r="AF35" s="41"/>
      <c r="AG35" s="41"/>
    </row>
    <row r="36" spans="2:33" ht="16" x14ac:dyDescent="0.35">
      <c r="B36" s="41"/>
      <c r="C36" s="41"/>
      <c r="D36" s="41"/>
      <c r="E36" s="41"/>
      <c r="F36" s="6"/>
      <c r="G36" s="6"/>
      <c r="H36" s="42"/>
      <c r="I36" s="3"/>
      <c r="J36" s="84"/>
      <c r="K36" s="84"/>
      <c r="L36" s="84"/>
      <c r="M36" s="41"/>
      <c r="N36" s="41"/>
      <c r="O36" s="41"/>
      <c r="P36" s="41"/>
      <c r="Q36" s="41"/>
      <c r="R36" s="84"/>
      <c r="S36" s="6"/>
      <c r="T36" s="3"/>
      <c r="U36" s="41"/>
      <c r="V36" s="41"/>
      <c r="W36" s="84"/>
      <c r="X36" s="6"/>
      <c r="Y36" s="3"/>
      <c r="Z36" s="41"/>
      <c r="AA36" s="3"/>
      <c r="AB36" s="3"/>
      <c r="AC36" s="41"/>
      <c r="AD36" s="41"/>
      <c r="AE36" s="41"/>
      <c r="AF36" s="41"/>
      <c r="AG36" s="41"/>
    </row>
    <row r="37" spans="2:33" ht="16" x14ac:dyDescent="0.35">
      <c r="B37" s="41"/>
      <c r="C37" s="41"/>
      <c r="D37" s="41"/>
      <c r="E37" s="41"/>
      <c r="F37" s="6"/>
      <c r="G37" s="6"/>
      <c r="H37" s="42"/>
      <c r="I37" s="3"/>
      <c r="J37" s="84"/>
      <c r="K37" s="84"/>
      <c r="L37" s="84"/>
      <c r="M37" s="41"/>
      <c r="N37" s="41"/>
      <c r="O37" s="41"/>
      <c r="P37" s="41"/>
      <c r="Q37" s="41"/>
      <c r="R37" s="84"/>
      <c r="S37" s="6"/>
      <c r="T37" s="3"/>
      <c r="U37" s="41"/>
      <c r="V37" s="41"/>
      <c r="W37" s="84"/>
      <c r="X37" s="6"/>
      <c r="Y37" s="3"/>
      <c r="Z37" s="41"/>
      <c r="AA37" s="3"/>
      <c r="AB37" s="3"/>
      <c r="AC37" s="41"/>
      <c r="AD37" s="41"/>
      <c r="AE37" s="41"/>
      <c r="AF37" s="41"/>
      <c r="AG37" s="41"/>
    </row>
    <row r="38" spans="2:33" ht="16" x14ac:dyDescent="0.35">
      <c r="B38" s="41"/>
      <c r="C38" s="41"/>
      <c r="D38" s="41"/>
      <c r="E38" s="41"/>
      <c r="F38" s="6"/>
      <c r="G38" s="6"/>
      <c r="H38" s="42"/>
      <c r="I38" s="3"/>
      <c r="J38" s="84"/>
      <c r="K38" s="84"/>
      <c r="L38" s="84"/>
      <c r="M38" s="41"/>
      <c r="N38" s="41"/>
      <c r="O38" s="41"/>
      <c r="P38" s="41"/>
      <c r="Q38" s="41"/>
      <c r="R38" s="84"/>
      <c r="S38" s="6"/>
      <c r="T38" s="3"/>
      <c r="U38" s="41"/>
      <c r="V38" s="41"/>
      <c r="W38" s="84"/>
      <c r="X38" s="6"/>
      <c r="Y38" s="3"/>
      <c r="Z38" s="41"/>
      <c r="AA38" s="3"/>
      <c r="AB38" s="3"/>
      <c r="AC38" s="41"/>
      <c r="AD38" s="41"/>
      <c r="AE38" s="41"/>
      <c r="AF38" s="41"/>
      <c r="AG38" s="41"/>
    </row>
    <row r="39" spans="2:33" ht="16" x14ac:dyDescent="0.35">
      <c r="B39" s="41"/>
      <c r="C39" s="41"/>
      <c r="D39" s="41"/>
      <c r="E39" s="41"/>
      <c r="F39" s="6"/>
      <c r="G39" s="6"/>
      <c r="H39" s="42"/>
      <c r="I39" s="3"/>
      <c r="J39" s="84"/>
      <c r="K39" s="84"/>
      <c r="L39" s="84"/>
      <c r="M39" s="41"/>
      <c r="N39" s="41"/>
      <c r="O39" s="41"/>
      <c r="P39" s="41"/>
      <c r="Q39" s="41"/>
      <c r="R39" s="84"/>
      <c r="S39" s="6"/>
      <c r="T39" s="3"/>
      <c r="U39" s="41"/>
      <c r="V39" s="41"/>
      <c r="W39" s="84"/>
      <c r="X39" s="6"/>
      <c r="Y39" s="3"/>
      <c r="Z39" s="41"/>
      <c r="AA39" s="3"/>
      <c r="AB39" s="3"/>
      <c r="AC39" s="41"/>
      <c r="AD39" s="41"/>
      <c r="AE39" s="41"/>
      <c r="AF39" s="41"/>
      <c r="AG39" s="41"/>
    </row>
    <row r="40" spans="2:33" ht="16" x14ac:dyDescent="0.35">
      <c r="B40" s="41"/>
      <c r="C40" s="41"/>
      <c r="D40" s="41"/>
      <c r="E40" s="41"/>
      <c r="F40" s="6"/>
      <c r="G40" s="6"/>
      <c r="H40" s="42"/>
      <c r="I40" s="3"/>
      <c r="J40" s="84"/>
      <c r="K40" s="84"/>
      <c r="L40" s="84"/>
      <c r="M40" s="41"/>
      <c r="N40" s="41"/>
      <c r="O40" s="41"/>
      <c r="P40" s="41"/>
      <c r="Q40" s="41"/>
      <c r="R40" s="84"/>
      <c r="S40" s="6"/>
      <c r="T40" s="3"/>
      <c r="U40" s="41"/>
      <c r="V40" s="41"/>
      <c r="W40" s="84"/>
      <c r="X40" s="6"/>
      <c r="Y40" s="3"/>
      <c r="Z40" s="41"/>
      <c r="AA40" s="3"/>
      <c r="AB40" s="3"/>
      <c r="AC40" s="41"/>
      <c r="AD40" s="41"/>
      <c r="AE40" s="41"/>
      <c r="AF40" s="41"/>
      <c r="AG40" s="41"/>
    </row>
    <row r="41" spans="2:33" x14ac:dyDescent="0.35">
      <c r="B41" s="44"/>
      <c r="C41" s="44"/>
      <c r="D41" s="44"/>
      <c r="E41" s="44"/>
      <c r="H41" s="47"/>
      <c r="M41" s="44"/>
      <c r="N41" s="44"/>
      <c r="O41" s="44"/>
      <c r="P41" s="44"/>
      <c r="Q41" s="44"/>
      <c r="U41" s="44"/>
      <c r="V41" s="44"/>
      <c r="Z41" s="44"/>
      <c r="AC41" s="44"/>
      <c r="AD41" s="44"/>
      <c r="AE41" s="44"/>
      <c r="AF41" s="44"/>
      <c r="AG41" s="44"/>
    </row>
    <row r="42" spans="2:33" x14ac:dyDescent="0.35">
      <c r="B42" s="44"/>
      <c r="C42" s="44"/>
      <c r="D42" s="44"/>
      <c r="E42" s="44"/>
      <c r="H42" s="47"/>
      <c r="M42" s="44"/>
      <c r="N42" s="44"/>
      <c r="O42" s="44"/>
      <c r="P42" s="44"/>
      <c r="Q42" s="44"/>
      <c r="U42" s="44"/>
      <c r="V42" s="44"/>
      <c r="Z42" s="44"/>
      <c r="AC42" s="44"/>
      <c r="AD42" s="44"/>
      <c r="AE42" s="44"/>
      <c r="AF42" s="44"/>
      <c r="AG42" s="44"/>
    </row>
    <row r="43" spans="2:33" x14ac:dyDescent="0.35">
      <c r="B43" s="44"/>
      <c r="C43" s="44"/>
      <c r="D43" s="44"/>
      <c r="E43" s="44"/>
      <c r="H43" s="47"/>
      <c r="M43" s="44"/>
      <c r="N43" s="44"/>
      <c r="O43" s="44"/>
      <c r="P43" s="44"/>
      <c r="Q43" s="44"/>
      <c r="U43" s="44"/>
      <c r="V43" s="44"/>
      <c r="Z43" s="44"/>
      <c r="AC43" s="44"/>
      <c r="AD43" s="44"/>
      <c r="AE43" s="44"/>
      <c r="AF43" s="44"/>
      <c r="AG43" s="44"/>
    </row>
    <row r="44" spans="2:33" x14ac:dyDescent="0.35">
      <c r="B44" s="44"/>
      <c r="C44" s="44"/>
      <c r="D44" s="44"/>
      <c r="E44" s="44"/>
      <c r="H44" s="47"/>
      <c r="M44" s="44"/>
      <c r="N44" s="44"/>
      <c r="O44" s="44"/>
      <c r="P44" s="44"/>
      <c r="Q44" s="44"/>
      <c r="U44" s="44"/>
      <c r="V44" s="44"/>
      <c r="Z44" s="44"/>
      <c r="AC44" s="44"/>
      <c r="AD44" s="44"/>
      <c r="AE44" s="44"/>
      <c r="AF44" s="44"/>
      <c r="AG44" s="44"/>
    </row>
    <row r="45" spans="2:33" x14ac:dyDescent="0.35">
      <c r="B45" s="44"/>
      <c r="C45" s="44"/>
      <c r="D45" s="44"/>
      <c r="E45" s="44"/>
      <c r="H45" s="47"/>
      <c r="M45" s="44"/>
      <c r="N45" s="44"/>
      <c r="O45" s="44"/>
      <c r="P45" s="44"/>
      <c r="Q45" s="44"/>
      <c r="U45" s="44"/>
      <c r="V45" s="44"/>
      <c r="Z45" s="44"/>
      <c r="AC45" s="44"/>
      <c r="AD45" s="44"/>
      <c r="AE45" s="44"/>
      <c r="AF45" s="44"/>
      <c r="AG45" s="44"/>
    </row>
    <row r="46" spans="2:33" x14ac:dyDescent="0.35">
      <c r="B46" s="44"/>
      <c r="C46" s="44"/>
      <c r="D46" s="44"/>
      <c r="E46" s="44"/>
      <c r="H46" s="47"/>
      <c r="M46" s="44"/>
      <c r="N46" s="44"/>
      <c r="O46" s="44"/>
      <c r="P46" s="44"/>
      <c r="Q46" s="44"/>
      <c r="U46" s="44"/>
      <c r="V46" s="44"/>
      <c r="Z46" s="44"/>
      <c r="AC46" s="44"/>
      <c r="AD46" s="44"/>
      <c r="AE46" s="44"/>
      <c r="AF46" s="44"/>
      <c r="AG46" s="44"/>
    </row>
    <row r="47" spans="2:33" x14ac:dyDescent="0.35">
      <c r="B47" s="44"/>
      <c r="C47" s="44"/>
      <c r="D47" s="44"/>
      <c r="E47" s="44"/>
      <c r="H47" s="47"/>
      <c r="M47" s="44"/>
      <c r="N47" s="44"/>
      <c r="O47" s="44"/>
      <c r="P47" s="44"/>
      <c r="Q47" s="44"/>
      <c r="U47" s="44"/>
      <c r="V47" s="44"/>
      <c r="Z47" s="44"/>
      <c r="AC47" s="44"/>
      <c r="AD47" s="44"/>
      <c r="AE47" s="44"/>
      <c r="AF47" s="44"/>
      <c r="AG47" s="44"/>
    </row>
    <row r="48" spans="2:33" x14ac:dyDescent="0.35">
      <c r="B48" s="44"/>
      <c r="C48" s="44"/>
      <c r="D48" s="44"/>
      <c r="E48" s="44"/>
      <c r="H48" s="47"/>
      <c r="M48" s="44"/>
      <c r="N48" s="44"/>
      <c r="O48" s="44"/>
      <c r="P48" s="44"/>
      <c r="Q48" s="44"/>
      <c r="U48" s="44"/>
      <c r="V48" s="44"/>
      <c r="Z48" s="44"/>
      <c r="AC48" s="44"/>
      <c r="AD48" s="44"/>
      <c r="AE48" s="44"/>
      <c r="AF48" s="44"/>
      <c r="AG48" s="44"/>
    </row>
    <row r="49" spans="2:33" x14ac:dyDescent="0.35">
      <c r="B49" s="44"/>
      <c r="C49" s="44"/>
      <c r="D49" s="44"/>
      <c r="E49" s="44"/>
      <c r="H49" s="47"/>
      <c r="M49" s="44"/>
      <c r="N49" s="44"/>
      <c r="O49" s="44"/>
      <c r="P49" s="44"/>
      <c r="Q49" s="44"/>
      <c r="U49" s="44"/>
      <c r="V49" s="44"/>
      <c r="Z49" s="44"/>
      <c r="AC49" s="44"/>
      <c r="AD49" s="44"/>
      <c r="AE49" s="44"/>
      <c r="AF49" s="44"/>
      <c r="AG49" s="44"/>
    </row>
    <row r="50" spans="2:33" x14ac:dyDescent="0.35">
      <c r="B50" s="44"/>
      <c r="C50" s="44"/>
      <c r="D50" s="44"/>
      <c r="E50" s="44"/>
      <c r="H50" s="47"/>
      <c r="M50" s="44"/>
      <c r="N50" s="44"/>
      <c r="O50" s="44"/>
      <c r="P50" s="44"/>
      <c r="Q50" s="44"/>
      <c r="U50" s="44"/>
      <c r="V50" s="44"/>
      <c r="Z50" s="44"/>
      <c r="AC50" s="44"/>
      <c r="AD50" s="44"/>
      <c r="AE50" s="44"/>
      <c r="AF50" s="44"/>
      <c r="AG50" s="44"/>
    </row>
    <row r="51" spans="2:33" x14ac:dyDescent="0.35">
      <c r="B51" s="44"/>
      <c r="C51" s="44"/>
      <c r="D51" s="44"/>
      <c r="E51" s="44"/>
      <c r="H51" s="47"/>
      <c r="M51" s="44"/>
      <c r="N51" s="44"/>
      <c r="O51" s="44"/>
      <c r="P51" s="44"/>
      <c r="Q51" s="44"/>
      <c r="U51" s="44"/>
      <c r="V51" s="44"/>
      <c r="Z51" s="44"/>
      <c r="AC51" s="44"/>
      <c r="AD51" s="44"/>
      <c r="AE51" s="44"/>
      <c r="AF51" s="44"/>
      <c r="AG51" s="44"/>
    </row>
    <row r="52" spans="2:33" x14ac:dyDescent="0.35">
      <c r="B52" s="44"/>
      <c r="C52" s="44"/>
      <c r="D52" s="44"/>
      <c r="E52" s="44"/>
      <c r="H52" s="47"/>
      <c r="M52" s="44"/>
      <c r="N52" s="44"/>
      <c r="O52" s="44"/>
      <c r="P52" s="44"/>
      <c r="Q52" s="44"/>
      <c r="U52" s="44"/>
      <c r="V52" s="44"/>
      <c r="Z52" s="44"/>
      <c r="AC52" s="44"/>
      <c r="AD52" s="44"/>
      <c r="AE52" s="44"/>
      <c r="AF52" s="44"/>
      <c r="AG52" s="44"/>
    </row>
    <row r="53" spans="2:33" x14ac:dyDescent="0.35">
      <c r="B53" s="44"/>
      <c r="C53" s="44"/>
      <c r="D53" s="44"/>
      <c r="E53" s="44"/>
      <c r="H53" s="47"/>
      <c r="M53" s="44"/>
      <c r="N53" s="44"/>
      <c r="O53" s="44"/>
      <c r="P53" s="44"/>
      <c r="Q53" s="44"/>
      <c r="U53" s="44"/>
      <c r="V53" s="44"/>
      <c r="Z53" s="44"/>
      <c r="AC53" s="44"/>
      <c r="AD53" s="44"/>
      <c r="AE53" s="44"/>
      <c r="AF53" s="44"/>
      <c r="AG53" s="44"/>
    </row>
    <row r="54" spans="2:33" x14ac:dyDescent="0.35">
      <c r="B54" s="44"/>
      <c r="C54" s="44"/>
      <c r="D54" s="44"/>
      <c r="E54" s="44"/>
      <c r="H54" s="47"/>
      <c r="M54" s="44"/>
      <c r="N54" s="44"/>
      <c r="O54" s="44"/>
      <c r="P54" s="44"/>
      <c r="Q54" s="44"/>
      <c r="U54" s="44"/>
      <c r="V54" s="44"/>
      <c r="Z54" s="44"/>
      <c r="AC54" s="44"/>
      <c r="AD54" s="44"/>
      <c r="AE54" s="44"/>
      <c r="AF54" s="44"/>
      <c r="AG54" s="44"/>
    </row>
    <row r="55" spans="2:33" x14ac:dyDescent="0.35">
      <c r="B55" s="44"/>
      <c r="C55" s="44"/>
      <c r="D55" s="44"/>
      <c r="E55" s="44"/>
      <c r="H55" s="47"/>
      <c r="M55" s="44"/>
      <c r="N55" s="44"/>
      <c r="O55" s="44"/>
      <c r="P55" s="44"/>
      <c r="Q55" s="44"/>
      <c r="U55" s="44"/>
      <c r="V55" s="44"/>
      <c r="Z55" s="44"/>
      <c r="AC55" s="44"/>
      <c r="AD55" s="44"/>
      <c r="AE55" s="44"/>
      <c r="AF55" s="44"/>
      <c r="AG55" s="44"/>
    </row>
    <row r="56" spans="2:33" x14ac:dyDescent="0.35">
      <c r="B56" s="44"/>
      <c r="C56" s="44"/>
      <c r="D56" s="44"/>
      <c r="E56" s="44"/>
      <c r="H56" s="47"/>
      <c r="M56" s="44"/>
      <c r="N56" s="44"/>
      <c r="O56" s="44"/>
      <c r="P56" s="44"/>
      <c r="Q56" s="44"/>
      <c r="U56" s="44"/>
      <c r="V56" s="44"/>
      <c r="Z56" s="44"/>
      <c r="AC56" s="44"/>
      <c r="AD56" s="44"/>
      <c r="AE56" s="44"/>
      <c r="AF56" s="44"/>
      <c r="AG56" s="44"/>
    </row>
    <row r="57" spans="2:33" x14ac:dyDescent="0.35">
      <c r="B57" s="44"/>
      <c r="C57" s="44"/>
      <c r="D57" s="44"/>
      <c r="E57" s="44"/>
      <c r="H57" s="47"/>
      <c r="M57" s="44"/>
      <c r="N57" s="44"/>
      <c r="O57" s="44"/>
      <c r="P57" s="44"/>
      <c r="Q57" s="44"/>
      <c r="U57" s="44"/>
      <c r="V57" s="44"/>
      <c r="Z57" s="44"/>
      <c r="AC57" s="44"/>
      <c r="AD57" s="44"/>
      <c r="AE57" s="44"/>
      <c r="AF57" s="44"/>
      <c r="AG57" s="44"/>
    </row>
    <row r="58" spans="2:33" x14ac:dyDescent="0.35">
      <c r="B58" s="44"/>
      <c r="C58" s="44"/>
      <c r="D58" s="44"/>
      <c r="E58" s="44"/>
      <c r="H58" s="47"/>
      <c r="M58" s="44"/>
      <c r="N58" s="44"/>
      <c r="O58" s="44"/>
      <c r="P58" s="44"/>
      <c r="Q58" s="44"/>
      <c r="U58" s="44"/>
      <c r="V58" s="44"/>
      <c r="Z58" s="44"/>
      <c r="AC58" s="44"/>
      <c r="AD58" s="44"/>
      <c r="AE58" s="44"/>
      <c r="AF58" s="44"/>
      <c r="AG58" s="44"/>
    </row>
    <row r="59" spans="2:33" x14ac:dyDescent="0.35">
      <c r="B59" s="44"/>
      <c r="C59" s="44"/>
      <c r="D59" s="44"/>
      <c r="E59" s="44"/>
      <c r="H59" s="47"/>
      <c r="M59" s="44"/>
      <c r="N59" s="44"/>
      <c r="O59" s="44"/>
      <c r="P59" s="44"/>
      <c r="Q59" s="44"/>
      <c r="U59" s="44"/>
      <c r="V59" s="44"/>
      <c r="Z59" s="44"/>
      <c r="AC59" s="44"/>
      <c r="AD59" s="44"/>
      <c r="AE59" s="44"/>
      <c r="AF59" s="44"/>
      <c r="AG59" s="44"/>
    </row>
    <row r="60" spans="2:33" x14ac:dyDescent="0.35">
      <c r="B60" s="44"/>
      <c r="C60" s="44"/>
      <c r="D60" s="44"/>
      <c r="E60" s="44"/>
      <c r="H60" s="47"/>
      <c r="M60" s="44"/>
      <c r="N60" s="44"/>
      <c r="O60" s="44"/>
      <c r="P60" s="44"/>
      <c r="Q60" s="44"/>
      <c r="U60" s="44"/>
      <c r="V60" s="44"/>
      <c r="Z60" s="44"/>
      <c r="AC60" s="44"/>
      <c r="AD60" s="44"/>
      <c r="AE60" s="44"/>
      <c r="AF60" s="44"/>
      <c r="AG60" s="44"/>
    </row>
    <row r="61" spans="2:33" x14ac:dyDescent="0.35">
      <c r="B61" s="44"/>
      <c r="C61" s="44"/>
      <c r="D61" s="44"/>
      <c r="E61" s="44"/>
      <c r="H61" s="47"/>
      <c r="M61" s="44"/>
      <c r="N61" s="44"/>
      <c r="O61" s="44"/>
      <c r="P61" s="44"/>
      <c r="Q61" s="44"/>
      <c r="U61" s="44"/>
      <c r="V61" s="44"/>
      <c r="Z61" s="44"/>
      <c r="AC61" s="44"/>
      <c r="AD61" s="44"/>
      <c r="AE61" s="44"/>
      <c r="AF61" s="44"/>
      <c r="AG61" s="44"/>
    </row>
    <row r="62" spans="2:33" x14ac:dyDescent="0.35">
      <c r="B62" s="44"/>
      <c r="C62" s="44"/>
      <c r="D62" s="44"/>
      <c r="E62" s="44"/>
      <c r="H62" s="47"/>
      <c r="M62" s="44"/>
      <c r="N62" s="44"/>
      <c r="O62" s="44"/>
      <c r="P62" s="44"/>
      <c r="Q62" s="44"/>
      <c r="U62" s="44"/>
      <c r="V62" s="44"/>
      <c r="Z62" s="44"/>
      <c r="AC62" s="44"/>
      <c r="AD62" s="44"/>
      <c r="AE62" s="44"/>
      <c r="AF62" s="44"/>
      <c r="AG62" s="44"/>
    </row>
    <row r="63" spans="2:33" x14ac:dyDescent="0.35">
      <c r="B63" s="44"/>
      <c r="C63" s="44"/>
      <c r="D63" s="44"/>
      <c r="E63" s="44"/>
      <c r="H63" s="47"/>
      <c r="M63" s="44"/>
      <c r="N63" s="44"/>
      <c r="O63" s="44"/>
      <c r="P63" s="44"/>
      <c r="Q63" s="44"/>
      <c r="U63" s="44"/>
      <c r="V63" s="44"/>
      <c r="Z63" s="44"/>
      <c r="AC63" s="44"/>
      <c r="AD63" s="44"/>
      <c r="AE63" s="44"/>
      <c r="AF63" s="44"/>
      <c r="AG63" s="44"/>
    </row>
    <row r="64" spans="2:33" x14ac:dyDescent="0.35">
      <c r="B64" s="44"/>
      <c r="C64" s="44"/>
      <c r="D64" s="44"/>
      <c r="E64" s="44"/>
      <c r="H64" s="47"/>
      <c r="M64" s="44"/>
      <c r="N64" s="44"/>
      <c r="O64" s="44"/>
      <c r="P64" s="44"/>
      <c r="Q64" s="44"/>
      <c r="U64" s="44"/>
      <c r="V64" s="44"/>
      <c r="Z64" s="44"/>
      <c r="AC64" s="44"/>
      <c r="AD64" s="44"/>
      <c r="AE64" s="44"/>
      <c r="AF64" s="44"/>
      <c r="AG64" s="44"/>
    </row>
    <row r="65" spans="2:33" x14ac:dyDescent="0.35">
      <c r="B65" s="44"/>
      <c r="C65" s="44"/>
      <c r="D65" s="44"/>
      <c r="E65" s="44"/>
      <c r="H65" s="47"/>
      <c r="M65" s="44"/>
      <c r="N65" s="44"/>
      <c r="O65" s="44"/>
      <c r="P65" s="44"/>
      <c r="Q65" s="44"/>
      <c r="U65" s="44"/>
      <c r="V65" s="44"/>
      <c r="Z65" s="44"/>
      <c r="AC65" s="44"/>
      <c r="AD65" s="44"/>
      <c r="AE65" s="44"/>
      <c r="AF65" s="44"/>
      <c r="AG65" s="44"/>
    </row>
    <row r="66" spans="2:33" x14ac:dyDescent="0.35">
      <c r="B66" s="44"/>
      <c r="C66" s="44"/>
      <c r="D66" s="44"/>
      <c r="E66" s="44"/>
      <c r="H66" s="47"/>
      <c r="M66" s="44"/>
      <c r="N66" s="44"/>
      <c r="O66" s="44"/>
      <c r="P66" s="44"/>
      <c r="Q66" s="44"/>
      <c r="U66" s="44"/>
      <c r="V66" s="44"/>
      <c r="Z66" s="44"/>
      <c r="AC66" s="44"/>
      <c r="AD66" s="44"/>
      <c r="AE66" s="44"/>
      <c r="AF66" s="44"/>
      <c r="AG66" s="44"/>
    </row>
    <row r="67" spans="2:33" x14ac:dyDescent="0.35">
      <c r="B67" s="44"/>
      <c r="C67" s="44"/>
      <c r="D67" s="44"/>
      <c r="E67" s="44"/>
      <c r="H67" s="47"/>
      <c r="M67" s="44"/>
      <c r="N67" s="44"/>
      <c r="O67" s="44"/>
      <c r="P67" s="44"/>
      <c r="Q67" s="44"/>
      <c r="U67" s="44"/>
      <c r="V67" s="44"/>
      <c r="Z67" s="44"/>
      <c r="AC67" s="44"/>
      <c r="AD67" s="44"/>
      <c r="AE67" s="44"/>
      <c r="AF67" s="44"/>
      <c r="AG67" s="44"/>
    </row>
    <row r="68" spans="2:33" x14ac:dyDescent="0.35">
      <c r="B68" s="44"/>
      <c r="C68" s="44"/>
      <c r="D68" s="44"/>
      <c r="E68" s="44"/>
      <c r="H68" s="47"/>
      <c r="M68" s="44"/>
      <c r="N68" s="44"/>
      <c r="O68" s="44"/>
      <c r="P68" s="44"/>
      <c r="Q68" s="44"/>
      <c r="U68" s="44"/>
      <c r="V68" s="44"/>
      <c r="Z68" s="44"/>
      <c r="AC68" s="44"/>
      <c r="AD68" s="44"/>
      <c r="AE68" s="44"/>
      <c r="AF68" s="44"/>
      <c r="AG68" s="44"/>
    </row>
    <row r="69" spans="2:33" x14ac:dyDescent="0.35">
      <c r="B69" s="44"/>
      <c r="C69" s="44"/>
      <c r="D69" s="44"/>
      <c r="E69" s="44"/>
      <c r="H69" s="47"/>
      <c r="M69" s="44"/>
      <c r="N69" s="44"/>
      <c r="O69" s="44"/>
      <c r="P69" s="44"/>
      <c r="Q69" s="44"/>
      <c r="U69" s="44"/>
      <c r="V69" s="44"/>
      <c r="Z69" s="44"/>
      <c r="AC69" s="44"/>
      <c r="AD69" s="44"/>
      <c r="AE69" s="44"/>
      <c r="AF69" s="44"/>
      <c r="AG69" s="44"/>
    </row>
    <row r="70" spans="2:33" x14ac:dyDescent="0.35">
      <c r="B70" s="44"/>
      <c r="C70" s="44"/>
      <c r="D70" s="44"/>
      <c r="E70" s="44"/>
      <c r="H70" s="47"/>
      <c r="M70" s="44"/>
      <c r="N70" s="44"/>
      <c r="O70" s="44"/>
      <c r="P70" s="44"/>
      <c r="Q70" s="44"/>
      <c r="U70" s="44"/>
      <c r="V70" s="44"/>
      <c r="Z70" s="44"/>
      <c r="AC70" s="44"/>
      <c r="AD70" s="44"/>
      <c r="AE70" s="44"/>
      <c r="AF70" s="44"/>
      <c r="AG70" s="44"/>
    </row>
    <row r="71" spans="2:33" x14ac:dyDescent="0.35">
      <c r="B71" s="44"/>
      <c r="C71" s="44"/>
      <c r="D71" s="44"/>
      <c r="E71" s="44"/>
      <c r="H71" s="47"/>
      <c r="M71" s="44"/>
      <c r="N71" s="44"/>
      <c r="O71" s="44"/>
      <c r="P71" s="44"/>
      <c r="Q71" s="44"/>
      <c r="U71" s="44"/>
      <c r="V71" s="44"/>
      <c r="Z71" s="44"/>
      <c r="AC71" s="44"/>
      <c r="AD71" s="44"/>
      <c r="AE71" s="44"/>
      <c r="AF71" s="44"/>
      <c r="AG71" s="44"/>
    </row>
    <row r="72" spans="2:33" x14ac:dyDescent="0.35">
      <c r="B72" s="44"/>
      <c r="C72" s="44"/>
      <c r="D72" s="44"/>
      <c r="E72" s="44"/>
      <c r="H72" s="47"/>
      <c r="M72" s="44"/>
      <c r="N72" s="44"/>
      <c r="O72" s="44"/>
      <c r="P72" s="44"/>
      <c r="Q72" s="44"/>
      <c r="U72" s="44"/>
      <c r="V72" s="44"/>
      <c r="Z72" s="44"/>
      <c r="AC72" s="44"/>
      <c r="AD72" s="44"/>
      <c r="AE72" s="44"/>
      <c r="AF72" s="44"/>
      <c r="AG72" s="44"/>
    </row>
    <row r="73" spans="2:33" x14ac:dyDescent="0.35">
      <c r="B73" s="44"/>
      <c r="C73" s="44"/>
      <c r="D73" s="44"/>
      <c r="E73" s="44"/>
      <c r="H73" s="47"/>
      <c r="M73" s="44"/>
      <c r="N73" s="44"/>
      <c r="O73" s="44"/>
      <c r="P73" s="44"/>
      <c r="Q73" s="44"/>
      <c r="U73" s="44"/>
      <c r="V73" s="44"/>
      <c r="Z73" s="44"/>
      <c r="AC73" s="44"/>
      <c r="AD73" s="44"/>
      <c r="AE73" s="44"/>
      <c r="AF73" s="44"/>
      <c r="AG73" s="44"/>
    </row>
    <row r="74" spans="2:33" x14ac:dyDescent="0.35">
      <c r="B74" s="44"/>
      <c r="C74" s="44"/>
      <c r="D74" s="44"/>
      <c r="E74" s="44"/>
      <c r="H74" s="47"/>
      <c r="M74" s="44"/>
      <c r="N74" s="44"/>
      <c r="O74" s="44"/>
      <c r="P74" s="44"/>
      <c r="Q74" s="44"/>
      <c r="U74" s="44"/>
      <c r="V74" s="44"/>
      <c r="Z74" s="44"/>
      <c r="AC74" s="44"/>
      <c r="AD74" s="44"/>
      <c r="AE74" s="44"/>
      <c r="AF74" s="44"/>
      <c r="AG74" s="44"/>
    </row>
    <row r="75" spans="2:33" x14ac:dyDescent="0.35">
      <c r="B75" s="44"/>
      <c r="C75" s="44"/>
      <c r="D75" s="44"/>
      <c r="E75" s="44"/>
      <c r="H75" s="47"/>
      <c r="M75" s="44"/>
      <c r="N75" s="44"/>
      <c r="O75" s="44"/>
      <c r="P75" s="44"/>
      <c r="Q75" s="44"/>
      <c r="U75" s="44"/>
      <c r="V75" s="44"/>
      <c r="Z75" s="44"/>
      <c r="AC75" s="44"/>
      <c r="AD75" s="44"/>
      <c r="AE75" s="44"/>
      <c r="AF75" s="44"/>
      <c r="AG75" s="44"/>
    </row>
    <row r="76" spans="2:33" x14ac:dyDescent="0.35">
      <c r="B76" s="44"/>
      <c r="C76" s="44"/>
      <c r="D76" s="44"/>
      <c r="E76" s="44"/>
      <c r="H76" s="47"/>
      <c r="M76" s="44"/>
      <c r="N76" s="44"/>
      <c r="O76" s="44"/>
      <c r="P76" s="44"/>
      <c r="Q76" s="44"/>
      <c r="U76" s="44"/>
      <c r="V76" s="44"/>
      <c r="Z76" s="44"/>
      <c r="AC76" s="44"/>
      <c r="AD76" s="44"/>
      <c r="AE76" s="44"/>
      <c r="AF76" s="44"/>
      <c r="AG76" s="44"/>
    </row>
    <row r="77" spans="2:33" x14ac:dyDescent="0.35">
      <c r="B77" s="44"/>
      <c r="C77" s="44"/>
      <c r="D77" s="44"/>
      <c r="E77" s="44"/>
      <c r="H77" s="47"/>
      <c r="M77" s="44"/>
      <c r="N77" s="44"/>
      <c r="O77" s="44"/>
      <c r="P77" s="44"/>
      <c r="Q77" s="44"/>
      <c r="U77" s="44"/>
      <c r="V77" s="44"/>
      <c r="Z77" s="44"/>
      <c r="AC77" s="44"/>
      <c r="AD77" s="44"/>
      <c r="AE77" s="44"/>
      <c r="AF77" s="44"/>
      <c r="AG77" s="44"/>
    </row>
    <row r="78" spans="2:33" x14ac:dyDescent="0.35">
      <c r="B78" s="44"/>
      <c r="C78" s="44"/>
      <c r="D78" s="44"/>
      <c r="E78" s="44"/>
      <c r="H78" s="47"/>
      <c r="M78" s="44"/>
      <c r="N78" s="44"/>
      <c r="O78" s="44"/>
      <c r="P78" s="44"/>
      <c r="Q78" s="44"/>
      <c r="U78" s="44"/>
      <c r="V78" s="44"/>
      <c r="Z78" s="44"/>
      <c r="AC78" s="44"/>
      <c r="AD78" s="44"/>
      <c r="AE78" s="44"/>
      <c r="AF78" s="44"/>
      <c r="AG78" s="44"/>
    </row>
    <row r="79" spans="2:33" x14ac:dyDescent="0.35">
      <c r="B79" s="44"/>
      <c r="C79" s="44"/>
      <c r="D79" s="44"/>
      <c r="E79" s="44"/>
      <c r="H79" s="47"/>
      <c r="M79" s="44"/>
      <c r="N79" s="44"/>
      <c r="O79" s="44"/>
      <c r="P79" s="44"/>
      <c r="Q79" s="44"/>
      <c r="U79" s="44"/>
      <c r="V79" s="44"/>
      <c r="Z79" s="44"/>
      <c r="AC79" s="44"/>
      <c r="AD79" s="44"/>
      <c r="AE79" s="44"/>
      <c r="AF79" s="44"/>
      <c r="AG79" s="44"/>
    </row>
    <row r="80" spans="2:33" x14ac:dyDescent="0.35">
      <c r="B80" s="44"/>
      <c r="C80" s="44"/>
      <c r="D80" s="44"/>
      <c r="E80" s="44"/>
      <c r="H80" s="47"/>
      <c r="M80" s="44"/>
      <c r="N80" s="44"/>
      <c r="O80" s="44"/>
      <c r="P80" s="44"/>
      <c r="Q80" s="44"/>
      <c r="U80" s="44"/>
      <c r="V80" s="44"/>
      <c r="Z80" s="44"/>
      <c r="AC80" s="44"/>
      <c r="AD80" s="44"/>
      <c r="AE80" s="44"/>
      <c r="AF80" s="44"/>
      <c r="AG80" s="44"/>
    </row>
    <row r="81" spans="2:33" x14ac:dyDescent="0.35">
      <c r="B81" s="44"/>
      <c r="C81" s="44"/>
      <c r="D81" s="44"/>
      <c r="E81" s="44"/>
      <c r="H81" s="47"/>
      <c r="M81" s="44"/>
      <c r="N81" s="44"/>
      <c r="O81" s="44"/>
      <c r="P81" s="44"/>
      <c r="Q81" s="44"/>
      <c r="U81" s="44"/>
      <c r="V81" s="44"/>
      <c r="Z81" s="44"/>
      <c r="AC81" s="44"/>
      <c r="AD81" s="44"/>
      <c r="AE81" s="44"/>
      <c r="AF81" s="44"/>
      <c r="AG81" s="44"/>
    </row>
    <row r="82" spans="2:33" x14ac:dyDescent="0.35">
      <c r="B82" s="44"/>
      <c r="C82" s="44"/>
      <c r="D82" s="44"/>
      <c r="E82" s="44"/>
      <c r="H82" s="47"/>
      <c r="M82" s="44"/>
      <c r="N82" s="44"/>
      <c r="O82" s="44"/>
      <c r="P82" s="44"/>
      <c r="Q82" s="44"/>
      <c r="U82" s="44"/>
      <c r="V82" s="44"/>
      <c r="Z82" s="44"/>
      <c r="AC82" s="44"/>
      <c r="AD82" s="44"/>
      <c r="AE82" s="44"/>
      <c r="AF82" s="44"/>
      <c r="AG82" s="44"/>
    </row>
    <row r="83" spans="2:33" x14ac:dyDescent="0.35">
      <c r="B83" s="44"/>
      <c r="C83" s="44"/>
      <c r="D83" s="44"/>
      <c r="E83" s="44"/>
      <c r="H83" s="47"/>
      <c r="M83" s="44"/>
      <c r="N83" s="44"/>
      <c r="O83" s="44"/>
      <c r="P83" s="44"/>
      <c r="Q83" s="44"/>
      <c r="U83" s="44"/>
      <c r="V83" s="44"/>
      <c r="Z83" s="44"/>
      <c r="AC83" s="44"/>
      <c r="AD83" s="44"/>
      <c r="AE83" s="44"/>
      <c r="AF83" s="44"/>
      <c r="AG83" s="44"/>
    </row>
    <row r="84" spans="2:33" x14ac:dyDescent="0.35">
      <c r="B84" s="44"/>
      <c r="C84" s="44"/>
      <c r="D84" s="44"/>
      <c r="E84" s="44"/>
      <c r="H84" s="47"/>
      <c r="M84" s="44"/>
      <c r="N84" s="44"/>
      <c r="O84" s="44"/>
      <c r="P84" s="44"/>
      <c r="Q84" s="44"/>
      <c r="U84" s="44"/>
      <c r="V84" s="44"/>
      <c r="Z84" s="44"/>
      <c r="AC84" s="44"/>
      <c r="AD84" s="44"/>
      <c r="AE84" s="44"/>
      <c r="AF84" s="44"/>
      <c r="AG84" s="44"/>
    </row>
    <row r="85" spans="2:33" x14ac:dyDescent="0.35">
      <c r="B85" s="44"/>
      <c r="C85" s="44"/>
      <c r="D85" s="44"/>
      <c r="E85" s="44"/>
      <c r="H85" s="47"/>
      <c r="M85" s="44"/>
      <c r="N85" s="44"/>
      <c r="O85" s="44"/>
      <c r="P85" s="44"/>
      <c r="Q85" s="44"/>
      <c r="U85" s="44"/>
      <c r="V85" s="44"/>
      <c r="Z85" s="44"/>
      <c r="AC85" s="44"/>
      <c r="AD85" s="44"/>
      <c r="AE85" s="44"/>
      <c r="AF85" s="44"/>
      <c r="AG85" s="44"/>
    </row>
    <row r="86" spans="2:33" x14ac:dyDescent="0.35">
      <c r="B86" s="44"/>
      <c r="C86" s="44"/>
      <c r="D86" s="44"/>
      <c r="E86" s="44"/>
      <c r="H86" s="47"/>
      <c r="M86" s="44"/>
      <c r="N86" s="44"/>
      <c r="O86" s="44"/>
      <c r="P86" s="44"/>
      <c r="Q86" s="44"/>
      <c r="U86" s="44"/>
      <c r="V86" s="44"/>
      <c r="Z86" s="44"/>
      <c r="AC86" s="44"/>
      <c r="AD86" s="44"/>
      <c r="AE86" s="44"/>
      <c r="AF86" s="44"/>
      <c r="AG86" s="44"/>
    </row>
    <row r="87" spans="2:33" x14ac:dyDescent="0.35">
      <c r="B87" s="44"/>
      <c r="C87" s="44"/>
      <c r="D87" s="44"/>
      <c r="E87" s="44"/>
      <c r="H87" s="47"/>
      <c r="M87" s="44"/>
      <c r="N87" s="44"/>
      <c r="O87" s="44"/>
      <c r="P87" s="44"/>
      <c r="Q87" s="44"/>
      <c r="U87" s="44"/>
      <c r="V87" s="44"/>
      <c r="Z87" s="44"/>
      <c r="AC87" s="44"/>
      <c r="AD87" s="44"/>
      <c r="AE87" s="44"/>
      <c r="AF87" s="44"/>
      <c r="AG87" s="44"/>
    </row>
    <row r="88" spans="2:33" x14ac:dyDescent="0.35">
      <c r="B88" s="44"/>
      <c r="C88" s="44"/>
      <c r="D88" s="44"/>
      <c r="E88" s="44"/>
      <c r="H88" s="47"/>
      <c r="M88" s="44"/>
      <c r="N88" s="44"/>
      <c r="O88" s="44"/>
      <c r="P88" s="44"/>
      <c r="Q88" s="44"/>
      <c r="U88" s="44"/>
      <c r="V88" s="44"/>
      <c r="Z88" s="44"/>
      <c r="AC88" s="44"/>
      <c r="AD88" s="44"/>
      <c r="AE88" s="44"/>
      <c r="AF88" s="44"/>
      <c r="AG88" s="44"/>
    </row>
    <row r="89" spans="2:33" x14ac:dyDescent="0.35">
      <c r="B89" s="44"/>
      <c r="C89" s="44"/>
      <c r="D89" s="44"/>
      <c r="E89" s="44"/>
      <c r="H89" s="47"/>
      <c r="M89" s="44"/>
      <c r="N89" s="44"/>
      <c r="O89" s="44"/>
      <c r="P89" s="44"/>
      <c r="Q89" s="44"/>
      <c r="U89" s="44"/>
      <c r="V89" s="44"/>
      <c r="Z89" s="44"/>
      <c r="AC89" s="44"/>
      <c r="AD89" s="44"/>
      <c r="AE89" s="44"/>
      <c r="AF89" s="44"/>
      <c r="AG89" s="44"/>
    </row>
    <row r="90" spans="2:33" x14ac:dyDescent="0.35">
      <c r="B90" s="44"/>
      <c r="C90" s="44"/>
      <c r="D90" s="44"/>
      <c r="E90" s="44"/>
      <c r="H90" s="47"/>
      <c r="M90" s="44"/>
      <c r="N90" s="44"/>
      <c r="O90" s="44"/>
      <c r="P90" s="44"/>
      <c r="Q90" s="44"/>
      <c r="U90" s="44"/>
      <c r="V90" s="44"/>
      <c r="Z90" s="44"/>
      <c r="AC90" s="44"/>
      <c r="AD90" s="44"/>
      <c r="AE90" s="44"/>
      <c r="AF90" s="44"/>
      <c r="AG90" s="44"/>
    </row>
    <row r="91" spans="2:33" x14ac:dyDescent="0.35">
      <c r="B91" s="44"/>
      <c r="C91" s="44"/>
      <c r="D91" s="44"/>
      <c r="E91" s="44"/>
      <c r="H91" s="47"/>
      <c r="M91" s="44"/>
      <c r="N91" s="44"/>
      <c r="O91" s="44"/>
      <c r="P91" s="44"/>
      <c r="Q91" s="44"/>
      <c r="U91" s="44"/>
      <c r="V91" s="44"/>
      <c r="Z91" s="44"/>
      <c r="AC91" s="44"/>
      <c r="AD91" s="44"/>
      <c r="AE91" s="44"/>
      <c r="AF91" s="44"/>
      <c r="AG91" s="44"/>
    </row>
    <row r="92" spans="2:33" x14ac:dyDescent="0.35">
      <c r="B92" s="44"/>
      <c r="C92" s="44"/>
      <c r="D92" s="44"/>
      <c r="E92" s="44"/>
      <c r="H92" s="47"/>
      <c r="M92" s="44"/>
      <c r="N92" s="44"/>
      <c r="O92" s="44"/>
      <c r="P92" s="44"/>
      <c r="Q92" s="44"/>
      <c r="U92" s="44"/>
      <c r="V92" s="44"/>
      <c r="Z92" s="44"/>
      <c r="AC92" s="44"/>
      <c r="AD92" s="44"/>
      <c r="AE92" s="44"/>
      <c r="AF92" s="44"/>
      <c r="AG92" s="44"/>
    </row>
    <row r="93" spans="2:33" x14ac:dyDescent="0.35">
      <c r="B93" s="44"/>
      <c r="C93" s="44"/>
      <c r="D93" s="44"/>
      <c r="E93" s="44"/>
      <c r="H93" s="47"/>
      <c r="M93" s="44"/>
      <c r="N93" s="44"/>
      <c r="O93" s="44"/>
      <c r="P93" s="44"/>
      <c r="Q93" s="44"/>
      <c r="U93" s="44"/>
      <c r="V93" s="44"/>
      <c r="Z93" s="44"/>
      <c r="AC93" s="44"/>
      <c r="AD93" s="44"/>
      <c r="AE93" s="44"/>
      <c r="AF93" s="44"/>
      <c r="AG93" s="44"/>
    </row>
    <row r="94" spans="2:33" x14ac:dyDescent="0.35">
      <c r="B94" s="44"/>
      <c r="C94" s="44"/>
      <c r="D94" s="44"/>
      <c r="E94" s="44"/>
      <c r="H94" s="47"/>
      <c r="M94" s="44"/>
      <c r="N94" s="44"/>
      <c r="O94" s="44"/>
      <c r="P94" s="44"/>
      <c r="Q94" s="44"/>
      <c r="U94" s="44"/>
      <c r="V94" s="44"/>
      <c r="Z94" s="44"/>
      <c r="AC94" s="44"/>
      <c r="AD94" s="44"/>
      <c r="AE94" s="44"/>
      <c r="AF94" s="44"/>
      <c r="AG94" s="44"/>
    </row>
    <row r="95" spans="2:33" x14ac:dyDescent="0.35">
      <c r="B95" s="44"/>
      <c r="C95" s="44"/>
      <c r="D95" s="44"/>
      <c r="E95" s="44"/>
      <c r="H95" s="47"/>
      <c r="M95" s="44"/>
      <c r="N95" s="44"/>
      <c r="O95" s="44"/>
      <c r="P95" s="44"/>
      <c r="Q95" s="44"/>
      <c r="U95" s="44"/>
      <c r="V95" s="44"/>
      <c r="Z95" s="44"/>
      <c r="AC95" s="44"/>
      <c r="AD95" s="44"/>
      <c r="AE95" s="44"/>
      <c r="AF95" s="44"/>
      <c r="AG95" s="44"/>
    </row>
    <row r="96" spans="2:33" x14ac:dyDescent="0.35">
      <c r="B96" s="44"/>
      <c r="C96" s="44"/>
      <c r="D96" s="44"/>
      <c r="E96" s="44"/>
      <c r="H96" s="47"/>
      <c r="M96" s="44"/>
      <c r="N96" s="44"/>
      <c r="O96" s="44"/>
      <c r="P96" s="44"/>
      <c r="Q96" s="44"/>
      <c r="U96" s="44"/>
      <c r="V96" s="44"/>
      <c r="Z96" s="44"/>
      <c r="AC96" s="44"/>
      <c r="AD96" s="44"/>
      <c r="AE96" s="44"/>
      <c r="AF96" s="44"/>
      <c r="AG96" s="44"/>
    </row>
    <row r="97" spans="2:33" x14ac:dyDescent="0.35">
      <c r="B97" s="44"/>
      <c r="C97" s="44"/>
      <c r="D97" s="44"/>
      <c r="E97" s="44"/>
      <c r="H97" s="47"/>
      <c r="M97" s="44"/>
      <c r="N97" s="44"/>
      <c r="O97" s="44"/>
      <c r="P97" s="44"/>
      <c r="Q97" s="44"/>
      <c r="U97" s="44"/>
      <c r="V97" s="44"/>
      <c r="Z97" s="44"/>
      <c r="AC97" s="44"/>
      <c r="AD97" s="44"/>
      <c r="AE97" s="44"/>
      <c r="AF97" s="44"/>
      <c r="AG97" s="44"/>
    </row>
    <row r="98" spans="2:33" x14ac:dyDescent="0.35">
      <c r="B98" s="44"/>
      <c r="C98" s="44"/>
      <c r="D98" s="44"/>
      <c r="E98" s="44"/>
      <c r="H98" s="47"/>
      <c r="M98" s="44"/>
      <c r="N98" s="44"/>
      <c r="O98" s="44"/>
      <c r="P98" s="44"/>
      <c r="Q98" s="44"/>
      <c r="U98" s="44"/>
      <c r="V98" s="44"/>
      <c r="Z98" s="44"/>
      <c r="AC98" s="44"/>
      <c r="AD98" s="44"/>
      <c r="AE98" s="44"/>
      <c r="AF98" s="44"/>
      <c r="AG98" s="44"/>
    </row>
    <row r="99" spans="2:33" x14ac:dyDescent="0.35">
      <c r="B99" s="44"/>
      <c r="C99" s="44"/>
      <c r="D99" s="44"/>
      <c r="E99" s="44"/>
      <c r="H99" s="47"/>
      <c r="M99" s="44"/>
      <c r="N99" s="44"/>
      <c r="O99" s="44"/>
      <c r="P99" s="44"/>
      <c r="Q99" s="44"/>
      <c r="U99" s="44"/>
      <c r="V99" s="44"/>
      <c r="Z99" s="44"/>
      <c r="AC99" s="44"/>
      <c r="AD99" s="44"/>
      <c r="AE99" s="44"/>
      <c r="AF99" s="44"/>
      <c r="AG99" s="44"/>
    </row>
    <row r="100" spans="2:33" x14ac:dyDescent="0.35">
      <c r="B100" s="44"/>
      <c r="C100" s="44"/>
      <c r="D100" s="44"/>
      <c r="E100" s="44"/>
      <c r="H100" s="47"/>
      <c r="M100" s="44"/>
      <c r="N100" s="44"/>
      <c r="O100" s="44"/>
      <c r="P100" s="44"/>
      <c r="Q100" s="44"/>
      <c r="U100" s="44"/>
      <c r="V100" s="44"/>
      <c r="Z100" s="44"/>
      <c r="AC100" s="44"/>
      <c r="AD100" s="44"/>
      <c r="AE100" s="44"/>
      <c r="AF100" s="44"/>
      <c r="AG100" s="44"/>
    </row>
    <row r="101" spans="2:33" x14ac:dyDescent="0.35">
      <c r="B101" s="44"/>
      <c r="C101" s="44"/>
      <c r="D101" s="44"/>
      <c r="E101" s="44"/>
      <c r="H101" s="47"/>
      <c r="M101" s="44"/>
      <c r="N101" s="44"/>
      <c r="O101" s="44"/>
      <c r="P101" s="44"/>
      <c r="Q101" s="44"/>
      <c r="U101" s="44"/>
      <c r="V101" s="44"/>
      <c r="Z101" s="44"/>
      <c r="AC101" s="44"/>
      <c r="AD101" s="44"/>
      <c r="AE101" s="44"/>
      <c r="AF101" s="44"/>
      <c r="AG101" s="44"/>
    </row>
    <row r="102" spans="2:33" x14ac:dyDescent="0.35">
      <c r="B102" s="44"/>
      <c r="C102" s="44"/>
      <c r="D102" s="44"/>
      <c r="E102" s="44"/>
      <c r="H102" s="47"/>
      <c r="M102" s="44"/>
      <c r="N102" s="44"/>
      <c r="O102" s="44"/>
      <c r="P102" s="44"/>
      <c r="Q102" s="44"/>
      <c r="U102" s="44"/>
      <c r="V102" s="44"/>
      <c r="Z102" s="44"/>
      <c r="AC102" s="44"/>
      <c r="AD102" s="44"/>
      <c r="AE102" s="44"/>
      <c r="AF102" s="44"/>
      <c r="AG102" s="44"/>
    </row>
    <row r="103" spans="2:33" x14ac:dyDescent="0.35">
      <c r="B103" s="44"/>
      <c r="C103" s="44"/>
      <c r="D103" s="44"/>
      <c r="E103" s="44"/>
      <c r="H103" s="47"/>
      <c r="M103" s="44"/>
      <c r="N103" s="44"/>
      <c r="O103" s="44"/>
      <c r="P103" s="44"/>
      <c r="Q103" s="44"/>
      <c r="U103" s="44"/>
      <c r="V103" s="44"/>
      <c r="Z103" s="44"/>
      <c r="AC103" s="44"/>
      <c r="AD103" s="44"/>
      <c r="AE103" s="44"/>
      <c r="AF103" s="44"/>
      <c r="AG103" s="44"/>
    </row>
    <row r="104" spans="2:33" x14ac:dyDescent="0.35">
      <c r="B104" s="44"/>
      <c r="C104" s="44"/>
      <c r="D104" s="44"/>
      <c r="E104" s="44"/>
      <c r="H104" s="47"/>
      <c r="M104" s="44"/>
      <c r="N104" s="44"/>
      <c r="O104" s="44"/>
      <c r="P104" s="44"/>
      <c r="Q104" s="44"/>
      <c r="U104" s="44"/>
      <c r="V104" s="44"/>
      <c r="Z104" s="44"/>
      <c r="AC104" s="44"/>
      <c r="AD104" s="44"/>
      <c r="AE104" s="44"/>
      <c r="AF104" s="44"/>
      <c r="AG104" s="44"/>
    </row>
    <row r="105" spans="2:33" x14ac:dyDescent="0.35">
      <c r="B105" s="44"/>
      <c r="C105" s="44"/>
      <c r="D105" s="44"/>
      <c r="E105" s="44"/>
      <c r="H105" s="47"/>
      <c r="M105" s="44"/>
      <c r="N105" s="44"/>
      <c r="O105" s="44"/>
      <c r="P105" s="44"/>
      <c r="Q105" s="44"/>
      <c r="U105" s="44"/>
      <c r="V105" s="44"/>
      <c r="Z105" s="44"/>
      <c r="AC105" s="44"/>
      <c r="AD105" s="44"/>
      <c r="AE105" s="44"/>
      <c r="AF105" s="44"/>
      <c r="AG105" s="44"/>
    </row>
    <row r="106" spans="2:33" x14ac:dyDescent="0.35">
      <c r="B106" s="44"/>
      <c r="C106" s="44"/>
      <c r="D106" s="44"/>
      <c r="E106" s="44"/>
      <c r="H106" s="47"/>
      <c r="M106" s="44"/>
      <c r="N106" s="44"/>
      <c r="O106" s="44"/>
      <c r="P106" s="44"/>
      <c r="Q106" s="44"/>
      <c r="U106" s="44"/>
      <c r="V106" s="44"/>
      <c r="Z106" s="44"/>
      <c r="AC106" s="44"/>
      <c r="AD106" s="44"/>
      <c r="AE106" s="44"/>
      <c r="AF106" s="44"/>
      <c r="AG106" s="44"/>
    </row>
    <row r="107" spans="2:33" x14ac:dyDescent="0.35">
      <c r="B107" s="44"/>
      <c r="C107" s="44"/>
      <c r="D107" s="44"/>
      <c r="E107" s="44"/>
      <c r="H107" s="47"/>
      <c r="M107" s="44"/>
      <c r="N107" s="44"/>
      <c r="O107" s="44"/>
      <c r="P107" s="44"/>
      <c r="Q107" s="44"/>
      <c r="U107" s="44"/>
      <c r="V107" s="44"/>
      <c r="Z107" s="44"/>
      <c r="AC107" s="44"/>
      <c r="AD107" s="44"/>
      <c r="AE107" s="44"/>
      <c r="AF107" s="44"/>
      <c r="AG107" s="44"/>
    </row>
    <row r="108" spans="2:33" x14ac:dyDescent="0.35">
      <c r="B108" s="44"/>
      <c r="C108" s="44"/>
      <c r="D108" s="44"/>
      <c r="E108" s="44"/>
      <c r="H108" s="47"/>
      <c r="M108" s="44"/>
      <c r="N108" s="44"/>
      <c r="O108" s="44"/>
      <c r="P108" s="44"/>
      <c r="Q108" s="44"/>
      <c r="U108" s="44"/>
      <c r="V108" s="44"/>
      <c r="Z108" s="44"/>
      <c r="AC108" s="44"/>
      <c r="AD108" s="44"/>
      <c r="AE108" s="44"/>
      <c r="AF108" s="44"/>
      <c r="AG108" s="44"/>
    </row>
    <row r="109" spans="2:33" x14ac:dyDescent="0.35">
      <c r="B109" s="44"/>
      <c r="C109" s="44"/>
      <c r="D109" s="44"/>
      <c r="E109" s="44"/>
      <c r="H109" s="47"/>
      <c r="M109" s="44"/>
      <c r="N109" s="44"/>
      <c r="O109" s="44"/>
      <c r="P109" s="44"/>
      <c r="Q109" s="44"/>
      <c r="U109" s="44"/>
      <c r="V109" s="44"/>
      <c r="Z109" s="44"/>
      <c r="AC109" s="44"/>
      <c r="AD109" s="44"/>
      <c r="AE109" s="44"/>
      <c r="AF109" s="44"/>
      <c r="AG109" s="44"/>
    </row>
    <row r="110" spans="2:33" x14ac:dyDescent="0.35">
      <c r="B110" s="44"/>
      <c r="C110" s="44"/>
      <c r="D110" s="44"/>
      <c r="E110" s="44"/>
      <c r="H110" s="47"/>
      <c r="M110" s="44"/>
      <c r="N110" s="44"/>
      <c r="O110" s="44"/>
      <c r="P110" s="44"/>
      <c r="Q110" s="44"/>
      <c r="U110" s="44"/>
      <c r="V110" s="44"/>
      <c r="Z110" s="44"/>
      <c r="AC110" s="44"/>
      <c r="AD110" s="44"/>
      <c r="AE110" s="44"/>
      <c r="AF110" s="44"/>
      <c r="AG110" s="44"/>
    </row>
    <row r="111" spans="2:33" x14ac:dyDescent="0.35">
      <c r="B111" s="44"/>
      <c r="C111" s="44"/>
      <c r="D111" s="44"/>
      <c r="E111" s="44"/>
      <c r="H111" s="47"/>
      <c r="M111" s="44"/>
      <c r="N111" s="44"/>
      <c r="O111" s="44"/>
      <c r="P111" s="44"/>
      <c r="Q111" s="44"/>
      <c r="U111" s="44"/>
      <c r="V111" s="44"/>
      <c r="Z111" s="44"/>
      <c r="AC111" s="44"/>
      <c r="AD111" s="44"/>
      <c r="AE111" s="44"/>
      <c r="AF111" s="44"/>
      <c r="AG111" s="44"/>
    </row>
    <row r="112" spans="2:33" x14ac:dyDescent="0.35">
      <c r="B112" s="44"/>
      <c r="C112" s="44"/>
      <c r="D112" s="44"/>
      <c r="E112" s="44"/>
      <c r="H112" s="47"/>
      <c r="M112" s="44"/>
      <c r="N112" s="44"/>
      <c r="O112" s="44"/>
      <c r="P112" s="44"/>
      <c r="Q112" s="44"/>
      <c r="U112" s="44"/>
      <c r="V112" s="44"/>
      <c r="Z112" s="44"/>
      <c r="AC112" s="44"/>
      <c r="AD112" s="44"/>
      <c r="AE112" s="44"/>
      <c r="AF112" s="44"/>
      <c r="AG112" s="44"/>
    </row>
    <row r="113" spans="2:33" x14ac:dyDescent="0.35">
      <c r="B113" s="44"/>
      <c r="C113" s="44"/>
      <c r="D113" s="44"/>
      <c r="E113" s="44"/>
      <c r="H113" s="47"/>
      <c r="M113" s="44"/>
      <c r="N113" s="44"/>
      <c r="O113" s="44"/>
      <c r="P113" s="44"/>
      <c r="Q113" s="44"/>
      <c r="U113" s="44"/>
      <c r="V113" s="44"/>
      <c r="Z113" s="44"/>
      <c r="AC113" s="44"/>
      <c r="AD113" s="44"/>
      <c r="AE113" s="44"/>
      <c r="AF113" s="44"/>
      <c r="AG113" s="44"/>
    </row>
    <row r="114" spans="2:33" x14ac:dyDescent="0.35">
      <c r="B114" s="44"/>
      <c r="C114" s="44"/>
      <c r="D114" s="44"/>
      <c r="E114" s="44"/>
      <c r="H114" s="47"/>
      <c r="M114" s="44"/>
      <c r="N114" s="44"/>
      <c r="O114" s="44"/>
      <c r="P114" s="44"/>
      <c r="Q114" s="44"/>
      <c r="U114" s="44"/>
      <c r="V114" s="44"/>
      <c r="Z114" s="44"/>
      <c r="AC114" s="44"/>
      <c r="AD114" s="44"/>
      <c r="AE114" s="44"/>
      <c r="AF114" s="44"/>
      <c r="AG114" s="44"/>
    </row>
    <row r="115" spans="2:33" x14ac:dyDescent="0.35">
      <c r="B115" s="44"/>
      <c r="C115" s="44"/>
      <c r="D115" s="44"/>
      <c r="E115" s="44"/>
      <c r="H115" s="47"/>
      <c r="M115" s="44"/>
      <c r="N115" s="44"/>
      <c r="O115" s="44"/>
      <c r="P115" s="44"/>
      <c r="Q115" s="44"/>
      <c r="U115" s="44"/>
      <c r="V115" s="44"/>
      <c r="Z115" s="44"/>
      <c r="AC115" s="44"/>
      <c r="AD115" s="44"/>
      <c r="AE115" s="44"/>
      <c r="AF115" s="44"/>
      <c r="AG115" s="44"/>
    </row>
    <row r="116" spans="2:33" x14ac:dyDescent="0.35">
      <c r="B116" s="44"/>
      <c r="C116" s="44"/>
      <c r="D116" s="44"/>
      <c r="E116" s="44"/>
      <c r="H116" s="47"/>
      <c r="M116" s="44"/>
      <c r="N116" s="44"/>
      <c r="O116" s="44"/>
      <c r="P116" s="44"/>
      <c r="Q116" s="44"/>
      <c r="U116" s="44"/>
      <c r="V116" s="44"/>
      <c r="Z116" s="44"/>
      <c r="AC116" s="44"/>
      <c r="AD116" s="44"/>
      <c r="AE116" s="44"/>
      <c r="AF116" s="44"/>
      <c r="AG116" s="44"/>
    </row>
    <row r="117" spans="2:33" x14ac:dyDescent="0.35">
      <c r="B117" s="44"/>
      <c r="C117" s="44"/>
      <c r="D117" s="44"/>
      <c r="E117" s="44"/>
      <c r="H117" s="47"/>
      <c r="M117" s="44"/>
      <c r="N117" s="44"/>
      <c r="O117" s="44"/>
      <c r="P117" s="44"/>
      <c r="Q117" s="44"/>
      <c r="U117" s="44"/>
      <c r="V117" s="44"/>
      <c r="Z117" s="44"/>
      <c r="AC117" s="44"/>
      <c r="AD117" s="44"/>
      <c r="AE117" s="44"/>
      <c r="AF117" s="44"/>
      <c r="AG117" s="44"/>
    </row>
    <row r="118" spans="2:33" x14ac:dyDescent="0.35">
      <c r="B118" s="44"/>
      <c r="C118" s="44"/>
      <c r="D118" s="44"/>
      <c r="E118" s="44"/>
      <c r="H118" s="47"/>
      <c r="M118" s="44"/>
      <c r="N118" s="44"/>
      <c r="O118" s="44"/>
      <c r="P118" s="44"/>
      <c r="Q118" s="44"/>
      <c r="U118" s="44"/>
      <c r="V118" s="44"/>
      <c r="Z118" s="44"/>
      <c r="AC118" s="44"/>
      <c r="AD118" s="44"/>
      <c r="AE118" s="44"/>
      <c r="AF118" s="44"/>
      <c r="AG118" s="44"/>
    </row>
    <row r="119" spans="2:33" x14ac:dyDescent="0.35">
      <c r="B119" s="44"/>
      <c r="C119" s="44"/>
      <c r="D119" s="44"/>
      <c r="E119" s="44"/>
      <c r="H119" s="47"/>
      <c r="M119" s="44"/>
      <c r="N119" s="44"/>
      <c r="O119" s="44"/>
      <c r="P119" s="44"/>
      <c r="Q119" s="44"/>
      <c r="U119" s="44"/>
      <c r="V119" s="44"/>
      <c r="Z119" s="44"/>
      <c r="AC119" s="44"/>
      <c r="AD119" s="44"/>
      <c r="AE119" s="44"/>
      <c r="AF119" s="44"/>
      <c r="AG119" s="44"/>
    </row>
    <row r="120" spans="2:33" x14ac:dyDescent="0.35">
      <c r="B120" s="44"/>
      <c r="C120" s="44"/>
      <c r="D120" s="44"/>
      <c r="E120" s="44"/>
      <c r="H120" s="47"/>
      <c r="M120" s="44"/>
      <c r="N120" s="44"/>
      <c r="O120" s="44"/>
      <c r="P120" s="44"/>
      <c r="Q120" s="44"/>
      <c r="U120" s="44"/>
      <c r="V120" s="44"/>
      <c r="Z120" s="44"/>
      <c r="AC120" s="44"/>
      <c r="AD120" s="44"/>
      <c r="AE120" s="44"/>
      <c r="AF120" s="44"/>
      <c r="AG120" s="44"/>
    </row>
    <row r="121" spans="2:33" x14ac:dyDescent="0.35">
      <c r="B121" s="44"/>
      <c r="C121" s="44"/>
      <c r="D121" s="44"/>
      <c r="E121" s="44"/>
      <c r="H121" s="47"/>
      <c r="M121" s="44"/>
      <c r="N121" s="44"/>
      <c r="O121" s="44"/>
      <c r="P121" s="44"/>
      <c r="Q121" s="44"/>
      <c r="U121" s="44"/>
      <c r="V121" s="44"/>
      <c r="Z121" s="44"/>
      <c r="AC121" s="44"/>
      <c r="AD121" s="44"/>
      <c r="AE121" s="44"/>
      <c r="AF121" s="44"/>
      <c r="AG121" s="44"/>
    </row>
    <row r="122" spans="2:33" x14ac:dyDescent="0.35">
      <c r="B122" s="44"/>
      <c r="C122" s="44"/>
      <c r="D122" s="44"/>
      <c r="E122" s="44"/>
      <c r="H122" s="47"/>
      <c r="M122" s="44"/>
      <c r="N122" s="44"/>
      <c r="O122" s="44"/>
      <c r="P122" s="44"/>
      <c r="Q122" s="44"/>
      <c r="U122" s="44"/>
      <c r="V122" s="44"/>
      <c r="Z122" s="44"/>
      <c r="AC122" s="44"/>
      <c r="AD122" s="44"/>
      <c r="AE122" s="44"/>
      <c r="AF122" s="44"/>
      <c r="AG122" s="44"/>
    </row>
    <row r="123" spans="2:33" x14ac:dyDescent="0.35">
      <c r="B123" s="44"/>
      <c r="C123" s="44"/>
      <c r="D123" s="44"/>
      <c r="E123" s="44"/>
      <c r="H123" s="47"/>
      <c r="M123" s="44"/>
      <c r="N123" s="44"/>
      <c r="O123" s="44"/>
      <c r="P123" s="44"/>
      <c r="Q123" s="44"/>
      <c r="U123" s="44"/>
      <c r="V123" s="44"/>
      <c r="Z123" s="44"/>
      <c r="AC123" s="44"/>
      <c r="AD123" s="44"/>
      <c r="AE123" s="44"/>
      <c r="AF123" s="44"/>
      <c r="AG123" s="44"/>
    </row>
    <row r="124" spans="2:33" x14ac:dyDescent="0.35">
      <c r="B124" s="44"/>
      <c r="C124" s="44"/>
      <c r="D124" s="44"/>
      <c r="E124" s="44"/>
      <c r="H124" s="47"/>
      <c r="M124" s="44"/>
      <c r="N124" s="44"/>
      <c r="O124" s="44"/>
      <c r="P124" s="44"/>
      <c r="Q124" s="44"/>
      <c r="U124" s="44"/>
      <c r="V124" s="44"/>
      <c r="Z124" s="44"/>
      <c r="AC124" s="44"/>
      <c r="AD124" s="44"/>
      <c r="AE124" s="44"/>
      <c r="AF124" s="44"/>
      <c r="AG124" s="44"/>
    </row>
    <row r="125" spans="2:33" x14ac:dyDescent="0.35">
      <c r="B125" s="44"/>
      <c r="C125" s="44"/>
      <c r="D125" s="44"/>
      <c r="E125" s="44"/>
      <c r="H125" s="47"/>
      <c r="M125" s="44"/>
      <c r="N125" s="44"/>
      <c r="O125" s="44"/>
      <c r="P125" s="44"/>
      <c r="Q125" s="44"/>
      <c r="U125" s="44"/>
      <c r="V125" s="44"/>
      <c r="Z125" s="44"/>
      <c r="AC125" s="44"/>
      <c r="AD125" s="44"/>
      <c r="AE125" s="44"/>
      <c r="AF125" s="44"/>
      <c r="AG125" s="44"/>
    </row>
    <row r="126" spans="2:33" x14ac:dyDescent="0.35">
      <c r="B126" s="44"/>
      <c r="C126" s="44"/>
      <c r="D126" s="44"/>
      <c r="E126" s="44"/>
      <c r="H126" s="47"/>
      <c r="M126" s="44"/>
      <c r="N126" s="44"/>
      <c r="O126" s="44"/>
      <c r="P126" s="44"/>
      <c r="Q126" s="44"/>
      <c r="U126" s="44"/>
      <c r="V126" s="44"/>
      <c r="Z126" s="44"/>
      <c r="AC126" s="44"/>
      <c r="AD126" s="44"/>
      <c r="AE126" s="44"/>
      <c r="AF126" s="44"/>
      <c r="AG126" s="44"/>
    </row>
    <row r="127" spans="2:33" x14ac:dyDescent="0.35">
      <c r="B127" s="44"/>
      <c r="C127" s="44"/>
      <c r="D127" s="44"/>
      <c r="E127" s="44"/>
      <c r="H127" s="47"/>
      <c r="M127" s="44"/>
      <c r="N127" s="44"/>
      <c r="O127" s="44"/>
      <c r="P127" s="44"/>
      <c r="Q127" s="44"/>
      <c r="U127" s="44"/>
      <c r="V127" s="44"/>
      <c r="Z127" s="44"/>
      <c r="AC127" s="44"/>
      <c r="AD127" s="44"/>
      <c r="AE127" s="44"/>
      <c r="AF127" s="44"/>
      <c r="AG127" s="44"/>
    </row>
    <row r="128" spans="2:33" x14ac:dyDescent="0.35">
      <c r="B128" s="44"/>
      <c r="C128" s="44"/>
      <c r="D128" s="44"/>
      <c r="E128" s="44"/>
      <c r="H128" s="47"/>
      <c r="M128" s="44"/>
      <c r="N128" s="44"/>
      <c r="O128" s="44"/>
      <c r="P128" s="44"/>
      <c r="Q128" s="44"/>
      <c r="U128" s="44"/>
      <c r="V128" s="44"/>
      <c r="Z128" s="44"/>
      <c r="AC128" s="44"/>
      <c r="AD128" s="44"/>
      <c r="AE128" s="44"/>
      <c r="AF128" s="44"/>
      <c r="AG128" s="44"/>
    </row>
    <row r="129" spans="2:33" x14ac:dyDescent="0.35">
      <c r="B129" s="44"/>
      <c r="C129" s="44"/>
      <c r="D129" s="44"/>
      <c r="E129" s="44"/>
      <c r="H129" s="47"/>
      <c r="M129" s="44"/>
      <c r="N129" s="44"/>
      <c r="O129" s="44"/>
      <c r="P129" s="44"/>
      <c r="Q129" s="44"/>
      <c r="U129" s="44"/>
      <c r="V129" s="44"/>
      <c r="Z129" s="44"/>
      <c r="AC129" s="44"/>
      <c r="AD129" s="44"/>
      <c r="AE129" s="44"/>
      <c r="AF129" s="44"/>
      <c r="AG129" s="44"/>
    </row>
    <row r="130" spans="2:33" x14ac:dyDescent="0.35">
      <c r="B130" s="44"/>
      <c r="C130" s="44"/>
      <c r="D130" s="44"/>
      <c r="E130" s="44"/>
      <c r="H130" s="47"/>
      <c r="M130" s="44"/>
      <c r="N130" s="44"/>
      <c r="O130" s="44"/>
      <c r="P130" s="44"/>
      <c r="Q130" s="44"/>
      <c r="U130" s="44"/>
      <c r="V130" s="44"/>
      <c r="Z130" s="44"/>
      <c r="AC130" s="44"/>
      <c r="AD130" s="44"/>
      <c r="AE130" s="44"/>
      <c r="AF130" s="44"/>
      <c r="AG130" s="44"/>
    </row>
    <row r="131" spans="2:33" x14ac:dyDescent="0.35">
      <c r="B131" s="44"/>
      <c r="C131" s="44"/>
      <c r="D131" s="44"/>
      <c r="E131" s="44"/>
      <c r="H131" s="47"/>
      <c r="M131" s="44"/>
      <c r="N131" s="44"/>
      <c r="O131" s="44"/>
      <c r="P131" s="44"/>
      <c r="Q131" s="44"/>
      <c r="U131" s="44"/>
      <c r="V131" s="44"/>
      <c r="Z131" s="44"/>
      <c r="AC131" s="44"/>
      <c r="AD131" s="44"/>
      <c r="AE131" s="44"/>
      <c r="AF131" s="44"/>
      <c r="AG131" s="44"/>
    </row>
    <row r="132" spans="2:33" x14ac:dyDescent="0.35">
      <c r="B132" s="44"/>
      <c r="C132" s="44"/>
      <c r="D132" s="44"/>
      <c r="E132" s="44"/>
      <c r="H132" s="47"/>
      <c r="M132" s="44"/>
      <c r="N132" s="44"/>
      <c r="O132" s="44"/>
      <c r="P132" s="44"/>
      <c r="Q132" s="44"/>
      <c r="U132" s="44"/>
      <c r="V132" s="44"/>
      <c r="Z132" s="44"/>
      <c r="AC132" s="44"/>
      <c r="AD132" s="44"/>
      <c r="AE132" s="44"/>
      <c r="AF132" s="44"/>
      <c r="AG132" s="44"/>
    </row>
    <row r="133" spans="2:33" x14ac:dyDescent="0.35">
      <c r="B133" s="44"/>
      <c r="C133" s="44"/>
      <c r="D133" s="44"/>
      <c r="E133" s="44"/>
      <c r="M133" s="44"/>
      <c r="N133" s="44"/>
      <c r="O133" s="44"/>
      <c r="P133" s="44"/>
      <c r="Q133" s="44"/>
      <c r="U133" s="44"/>
      <c r="V133" s="44"/>
      <c r="Z133" s="44"/>
      <c r="AC133" s="44"/>
      <c r="AD133" s="44"/>
      <c r="AE133" s="44"/>
      <c r="AF133" s="44"/>
      <c r="AG133" s="44"/>
    </row>
    <row r="134" spans="2:33" x14ac:dyDescent="0.35">
      <c r="B134" s="44"/>
      <c r="C134" s="44"/>
      <c r="D134" s="44"/>
      <c r="E134" s="44"/>
      <c r="M134" s="44"/>
      <c r="N134" s="44"/>
      <c r="O134" s="44"/>
      <c r="P134" s="44"/>
      <c r="Q134" s="44"/>
      <c r="U134" s="44"/>
      <c r="V134" s="44"/>
      <c r="Z134" s="44"/>
      <c r="AC134" s="44"/>
      <c r="AD134" s="44"/>
      <c r="AE134" s="44"/>
      <c r="AF134" s="44"/>
      <c r="AG134" s="44"/>
    </row>
    <row r="135" spans="2:33" x14ac:dyDescent="0.35">
      <c r="B135" s="44"/>
      <c r="C135" s="44"/>
      <c r="D135" s="44"/>
      <c r="E135" s="44"/>
      <c r="M135" s="44"/>
      <c r="N135" s="44"/>
      <c r="O135" s="44"/>
      <c r="P135" s="44"/>
      <c r="Q135" s="44"/>
      <c r="U135" s="44"/>
      <c r="V135" s="44"/>
      <c r="Z135" s="44"/>
      <c r="AC135" s="44"/>
      <c r="AD135" s="44"/>
      <c r="AE135" s="44"/>
      <c r="AF135" s="44"/>
      <c r="AG135" s="44"/>
    </row>
    <row r="136" spans="2:33" x14ac:dyDescent="0.35">
      <c r="B136" s="44"/>
      <c r="C136" s="44"/>
      <c r="D136" s="44"/>
      <c r="E136" s="44"/>
      <c r="M136" s="44"/>
      <c r="N136" s="44"/>
      <c r="O136" s="44"/>
      <c r="P136" s="44"/>
      <c r="Q136" s="44"/>
      <c r="U136" s="44"/>
      <c r="V136" s="44"/>
      <c r="Z136" s="44"/>
      <c r="AC136" s="44"/>
      <c r="AD136" s="44"/>
      <c r="AE136" s="44"/>
      <c r="AF136" s="44"/>
      <c r="AG136" s="44"/>
    </row>
    <row r="137" spans="2:33" x14ac:dyDescent="0.35">
      <c r="B137" s="44"/>
      <c r="C137" s="44"/>
      <c r="D137" s="44"/>
      <c r="E137" s="44"/>
      <c r="M137" s="44"/>
      <c r="N137" s="44"/>
      <c r="O137" s="44"/>
      <c r="P137" s="44"/>
      <c r="Q137" s="44"/>
      <c r="U137" s="44"/>
      <c r="V137" s="44"/>
      <c r="Z137" s="44"/>
      <c r="AC137" s="44"/>
      <c r="AD137" s="44"/>
      <c r="AE137" s="44"/>
      <c r="AF137" s="44"/>
      <c r="AG137" s="44"/>
    </row>
    <row r="138" spans="2:33" x14ac:dyDescent="0.35">
      <c r="B138" s="44"/>
      <c r="C138" s="44"/>
      <c r="D138" s="44"/>
      <c r="E138" s="44"/>
      <c r="M138" s="44"/>
      <c r="N138" s="44"/>
      <c r="O138" s="44"/>
      <c r="P138" s="44"/>
      <c r="Q138" s="44"/>
      <c r="U138" s="44"/>
      <c r="V138" s="44"/>
      <c r="Z138" s="44"/>
      <c r="AC138" s="44"/>
      <c r="AD138" s="44"/>
      <c r="AE138" s="44"/>
      <c r="AF138" s="44"/>
      <c r="AG138" s="44"/>
    </row>
    <row r="139" spans="2:33" x14ac:dyDescent="0.35">
      <c r="B139" s="44"/>
      <c r="C139" s="44"/>
      <c r="D139" s="44"/>
      <c r="E139" s="44"/>
      <c r="M139" s="44"/>
      <c r="N139" s="44"/>
      <c r="O139" s="44"/>
      <c r="P139" s="44"/>
      <c r="Q139" s="44"/>
      <c r="U139" s="44"/>
      <c r="V139" s="44"/>
      <c r="Z139" s="44"/>
      <c r="AC139" s="44"/>
      <c r="AD139" s="44"/>
      <c r="AE139" s="44"/>
      <c r="AF139" s="44"/>
      <c r="AG139" s="44"/>
    </row>
    <row r="140" spans="2:33" x14ac:dyDescent="0.35">
      <c r="B140" s="44"/>
      <c r="C140" s="44"/>
      <c r="D140" s="44"/>
      <c r="E140" s="44"/>
      <c r="M140" s="44"/>
      <c r="N140" s="44"/>
      <c r="O140" s="44"/>
      <c r="P140" s="44"/>
      <c r="Q140" s="44"/>
      <c r="U140" s="44"/>
      <c r="V140" s="44"/>
      <c r="Z140" s="44"/>
      <c r="AC140" s="44"/>
      <c r="AD140" s="44"/>
      <c r="AE140" s="44"/>
      <c r="AF140" s="44"/>
      <c r="AG140" s="44"/>
    </row>
    <row r="141" spans="2:33" x14ac:dyDescent="0.35">
      <c r="B141" s="44"/>
      <c r="C141" s="44"/>
      <c r="D141" s="44"/>
      <c r="E141" s="44"/>
      <c r="M141" s="44"/>
      <c r="N141" s="44"/>
      <c r="O141" s="44"/>
      <c r="P141" s="44"/>
      <c r="Q141" s="44"/>
      <c r="U141" s="44"/>
      <c r="V141" s="44"/>
      <c r="Z141" s="44"/>
      <c r="AC141" s="44"/>
      <c r="AD141" s="44"/>
      <c r="AE141" s="44"/>
      <c r="AF141" s="44"/>
      <c r="AG141" s="44"/>
    </row>
    <row r="142" spans="2:33" x14ac:dyDescent="0.35">
      <c r="B142" s="44"/>
      <c r="C142" s="44"/>
      <c r="D142" s="44"/>
      <c r="E142" s="44"/>
      <c r="M142" s="44"/>
      <c r="N142" s="44"/>
      <c r="O142" s="44"/>
      <c r="P142" s="44"/>
      <c r="Q142" s="44"/>
      <c r="U142" s="44"/>
      <c r="V142" s="44"/>
      <c r="Z142" s="44"/>
      <c r="AC142" s="44"/>
      <c r="AD142" s="44"/>
      <c r="AE142" s="44"/>
      <c r="AF142" s="44"/>
      <c r="AG142" s="44"/>
    </row>
    <row r="143" spans="2:33" x14ac:dyDescent="0.35">
      <c r="B143" s="44"/>
      <c r="C143" s="44"/>
      <c r="D143" s="44"/>
      <c r="E143" s="44"/>
      <c r="M143" s="44"/>
      <c r="N143" s="44"/>
      <c r="O143" s="44"/>
      <c r="P143" s="18"/>
      <c r="U143" s="44"/>
      <c r="V143" s="44"/>
      <c r="Z143" s="44"/>
      <c r="AC143" s="44"/>
      <c r="AD143" s="44"/>
      <c r="AE143" s="44"/>
      <c r="AF143" s="44"/>
      <c r="AG143" s="44"/>
    </row>
    <row r="144" spans="2:33" x14ac:dyDescent="0.35">
      <c r="B144" s="44"/>
      <c r="C144" s="44"/>
      <c r="D144" s="44"/>
      <c r="E144" s="44"/>
      <c r="M144" s="44"/>
      <c r="N144" s="44"/>
      <c r="O144" s="44"/>
      <c r="P144" s="18"/>
      <c r="U144" s="44"/>
      <c r="V144" s="44"/>
      <c r="Z144" s="44"/>
      <c r="AC144" s="44"/>
      <c r="AD144" s="44"/>
      <c r="AE144" s="44"/>
      <c r="AF144" s="44"/>
      <c r="AG144" s="44"/>
    </row>
    <row r="145" spans="2:33" x14ac:dyDescent="0.35">
      <c r="B145" s="44"/>
      <c r="C145" s="44"/>
      <c r="D145" s="44"/>
      <c r="E145" s="44"/>
      <c r="M145" s="44"/>
      <c r="N145" s="44"/>
      <c r="O145" s="44"/>
      <c r="P145" s="18"/>
      <c r="U145" s="44"/>
      <c r="V145" s="44"/>
      <c r="Z145" s="44"/>
      <c r="AC145" s="44"/>
      <c r="AD145" s="44"/>
      <c r="AE145" s="44"/>
      <c r="AF145" s="44"/>
      <c r="AG145" s="44"/>
    </row>
    <row r="146" spans="2:33" x14ac:dyDescent="0.35">
      <c r="M146" s="44"/>
      <c r="N146" s="44"/>
      <c r="O146" s="44"/>
      <c r="P146" s="18"/>
      <c r="U146" s="44"/>
      <c r="V146" s="44"/>
      <c r="Z146" s="44"/>
      <c r="AC146" s="44"/>
      <c r="AD146" s="44"/>
      <c r="AE146" s="44"/>
      <c r="AF146" s="44"/>
      <c r="AG146" s="44"/>
    </row>
    <row r="147" spans="2:33" x14ac:dyDescent="0.35">
      <c r="M147" s="44"/>
      <c r="N147" s="44"/>
      <c r="O147" s="44"/>
      <c r="P147" s="18"/>
      <c r="U147" s="44"/>
      <c r="V147" s="44"/>
      <c r="Z147" s="44"/>
      <c r="AC147" s="44"/>
      <c r="AD147" s="44"/>
      <c r="AE147" s="44"/>
      <c r="AF147" s="44"/>
      <c r="AG147" s="44"/>
    </row>
    <row r="148" spans="2:33" x14ac:dyDescent="0.35">
      <c r="M148" s="44"/>
      <c r="N148" s="44"/>
      <c r="O148" s="44"/>
      <c r="P148" s="18"/>
      <c r="U148" s="44"/>
      <c r="V148" s="44"/>
      <c r="Z148" s="44"/>
      <c r="AC148" s="44"/>
      <c r="AD148" s="44"/>
      <c r="AE148" s="44"/>
      <c r="AF148" s="44"/>
      <c r="AG148" s="44"/>
    </row>
    <row r="149" spans="2:33" x14ac:dyDescent="0.35">
      <c r="M149" s="44"/>
      <c r="N149" s="44"/>
      <c r="O149" s="44"/>
      <c r="P149" s="18"/>
      <c r="U149" s="44"/>
      <c r="V149" s="44"/>
      <c r="Z149" s="44"/>
      <c r="AC149" s="44"/>
      <c r="AD149" s="44"/>
      <c r="AE149" s="44"/>
      <c r="AF149" s="44"/>
      <c r="AG149" s="44"/>
    </row>
    <row r="150" spans="2:33" x14ac:dyDescent="0.35">
      <c r="M150" s="44"/>
      <c r="N150" s="44"/>
      <c r="O150" s="44"/>
      <c r="P150" s="18"/>
      <c r="U150" s="44"/>
      <c r="V150" s="44"/>
      <c r="Z150" s="44"/>
      <c r="AC150" s="44"/>
      <c r="AD150" s="44"/>
      <c r="AE150" s="44"/>
      <c r="AF150" s="44"/>
      <c r="AG150" s="44"/>
    </row>
    <row r="151" spans="2:33" x14ac:dyDescent="0.35">
      <c r="M151" s="44"/>
      <c r="N151" s="44"/>
      <c r="O151" s="44"/>
      <c r="P151" s="18"/>
      <c r="U151" s="44"/>
      <c r="V151" s="44"/>
      <c r="Z151" s="44"/>
      <c r="AC151" s="44"/>
      <c r="AD151" s="44"/>
      <c r="AE151" s="44"/>
      <c r="AF151" s="44"/>
      <c r="AG151" s="44"/>
    </row>
    <row r="152" spans="2:33" x14ac:dyDescent="0.35">
      <c r="M152" s="44"/>
      <c r="N152" s="44"/>
      <c r="O152" s="44"/>
      <c r="P152" s="18"/>
      <c r="U152" s="44"/>
      <c r="V152" s="44"/>
      <c r="Z152" s="44"/>
      <c r="AC152" s="44"/>
      <c r="AD152" s="44"/>
      <c r="AE152" s="44"/>
      <c r="AF152" s="44"/>
      <c r="AG152" s="44"/>
    </row>
    <row r="153" spans="2:33" x14ac:dyDescent="0.35">
      <c r="M153" s="44"/>
      <c r="N153" s="44"/>
      <c r="O153" s="44"/>
      <c r="P153" s="18"/>
      <c r="U153" s="44"/>
      <c r="V153" s="44"/>
      <c r="Z153" s="44"/>
      <c r="AC153" s="44"/>
      <c r="AD153" s="44"/>
      <c r="AE153" s="44"/>
      <c r="AF153" s="44"/>
      <c r="AG153" s="44"/>
    </row>
    <row r="154" spans="2:33" x14ac:dyDescent="0.35">
      <c r="M154" s="44"/>
      <c r="N154" s="44"/>
      <c r="O154" s="44"/>
      <c r="P154" s="18"/>
      <c r="U154" s="44"/>
      <c r="V154" s="44"/>
      <c r="Z154" s="44"/>
      <c r="AC154" s="44"/>
      <c r="AD154" s="44"/>
      <c r="AE154" s="44"/>
      <c r="AF154" s="44"/>
      <c r="AG154" s="44"/>
    </row>
    <row r="155" spans="2:33" x14ac:dyDescent="0.35">
      <c r="M155" s="44"/>
      <c r="N155" s="44"/>
      <c r="O155" s="44"/>
      <c r="P155" s="18"/>
      <c r="U155" s="44"/>
      <c r="V155" s="44"/>
      <c r="Z155" s="44"/>
      <c r="AC155" s="44"/>
      <c r="AD155" s="44"/>
      <c r="AE155" s="44"/>
      <c r="AF155" s="44"/>
      <c r="AG155" s="44"/>
    </row>
    <row r="156" spans="2:33" x14ac:dyDescent="0.35">
      <c r="M156" s="44"/>
      <c r="N156" s="44"/>
      <c r="O156" s="44"/>
      <c r="P156" s="18"/>
      <c r="U156" s="44"/>
      <c r="V156" s="44"/>
      <c r="Z156" s="44"/>
      <c r="AC156" s="44"/>
      <c r="AD156" s="44"/>
      <c r="AE156" s="44"/>
      <c r="AF156" s="44"/>
      <c r="AG156" s="44"/>
    </row>
    <row r="157" spans="2:33" x14ac:dyDescent="0.35">
      <c r="M157" s="44"/>
      <c r="N157" s="44"/>
      <c r="O157" s="44"/>
      <c r="P157" s="18"/>
      <c r="U157" s="44"/>
      <c r="V157" s="44"/>
      <c r="Z157" s="44"/>
      <c r="AC157" s="44"/>
      <c r="AD157" s="44"/>
      <c r="AE157" s="44"/>
      <c r="AF157" s="44"/>
      <c r="AG157" s="44"/>
    </row>
    <row r="158" spans="2:33" x14ac:dyDescent="0.35">
      <c r="M158" s="44"/>
      <c r="N158" s="44"/>
      <c r="O158" s="44"/>
      <c r="P158" s="18"/>
      <c r="U158" s="44"/>
      <c r="V158" s="44"/>
      <c r="Z158" s="44"/>
      <c r="AC158" s="44"/>
      <c r="AD158" s="44"/>
      <c r="AE158" s="44"/>
      <c r="AF158" s="44"/>
      <c r="AG158" s="44"/>
    </row>
    <row r="159" spans="2:33" x14ac:dyDescent="0.35">
      <c r="M159" s="44"/>
      <c r="N159" s="44"/>
      <c r="O159" s="44"/>
      <c r="P159" s="18"/>
      <c r="U159" s="44"/>
      <c r="V159" s="44"/>
      <c r="Z159" s="44"/>
      <c r="AC159" s="44"/>
      <c r="AD159" s="44"/>
      <c r="AE159" s="44"/>
      <c r="AF159" s="44"/>
      <c r="AG159" s="44"/>
    </row>
    <row r="160" spans="2:33" x14ac:dyDescent="0.35">
      <c r="M160" s="44"/>
      <c r="N160" s="44"/>
      <c r="O160" s="44"/>
      <c r="P160" s="18"/>
      <c r="U160" s="44"/>
      <c r="V160" s="44"/>
      <c r="Z160" s="44"/>
      <c r="AC160" s="44"/>
      <c r="AD160" s="44"/>
      <c r="AE160" s="44"/>
      <c r="AF160" s="44"/>
      <c r="AG160" s="44"/>
    </row>
    <row r="161" spans="13:33" x14ac:dyDescent="0.35">
      <c r="M161" s="44"/>
      <c r="N161" s="44"/>
      <c r="O161" s="44"/>
      <c r="P161" s="18"/>
      <c r="U161" s="44"/>
      <c r="V161" s="44"/>
      <c r="Z161" s="44"/>
      <c r="AC161" s="44"/>
      <c r="AD161" s="44"/>
      <c r="AE161" s="44"/>
      <c r="AF161" s="44"/>
      <c r="AG161" s="44"/>
    </row>
    <row r="162" spans="13:33" x14ac:dyDescent="0.35">
      <c r="M162" s="44"/>
      <c r="N162" s="44"/>
      <c r="O162" s="44"/>
      <c r="P162" s="18"/>
      <c r="U162" s="44"/>
      <c r="V162" s="44"/>
      <c r="Z162" s="18"/>
      <c r="AC162" s="44"/>
      <c r="AD162" s="44"/>
      <c r="AE162" s="44"/>
      <c r="AF162" s="44"/>
      <c r="AG162" s="44"/>
    </row>
    <row r="163" spans="13:33" x14ac:dyDescent="0.35">
      <c r="M163" s="44"/>
      <c r="N163" s="44"/>
      <c r="O163" s="44"/>
      <c r="P163" s="18"/>
      <c r="U163" s="44"/>
      <c r="V163" s="44"/>
      <c r="Z163" s="18"/>
      <c r="AC163" s="44"/>
      <c r="AD163" s="44"/>
      <c r="AE163" s="44"/>
      <c r="AF163" s="44"/>
      <c r="AG163" s="44"/>
    </row>
    <row r="164" spans="13:33" x14ac:dyDescent="0.35">
      <c r="M164" s="44"/>
      <c r="N164" s="44"/>
      <c r="O164" s="44"/>
      <c r="P164" s="18"/>
      <c r="U164" s="44"/>
      <c r="V164" s="44"/>
      <c r="Z164" s="18"/>
      <c r="AC164" s="44"/>
      <c r="AD164" s="44"/>
      <c r="AE164" s="44"/>
      <c r="AF164" s="44"/>
      <c r="AG164" s="44"/>
    </row>
    <row r="165" spans="13:33" x14ac:dyDescent="0.35">
      <c r="M165" s="44"/>
      <c r="N165" s="44"/>
      <c r="O165" s="44"/>
      <c r="P165" s="18"/>
      <c r="U165" s="44"/>
      <c r="V165" s="44"/>
      <c r="Z165" s="18"/>
      <c r="AC165" s="44"/>
      <c r="AD165" s="44"/>
      <c r="AE165" s="44"/>
      <c r="AF165" s="44"/>
      <c r="AG165" s="44"/>
    </row>
    <row r="166" spans="13:33" x14ac:dyDescent="0.35">
      <c r="M166" s="44"/>
      <c r="N166" s="44"/>
      <c r="O166" s="44"/>
      <c r="P166" s="18"/>
      <c r="U166" s="44"/>
      <c r="V166" s="44"/>
      <c r="Z166" s="18"/>
      <c r="AC166" s="44"/>
      <c r="AD166" s="44"/>
      <c r="AE166" s="44"/>
      <c r="AF166" s="44"/>
      <c r="AG166" s="44"/>
    </row>
    <row r="167" spans="13:33" x14ac:dyDescent="0.35">
      <c r="M167" s="44"/>
      <c r="N167" s="44"/>
      <c r="O167" s="44"/>
      <c r="P167" s="18"/>
      <c r="U167" s="44"/>
      <c r="V167" s="44"/>
      <c r="Z167" s="18"/>
      <c r="AC167" s="44"/>
      <c r="AD167" s="44"/>
      <c r="AE167" s="44"/>
      <c r="AF167" s="44"/>
      <c r="AG167" s="44"/>
    </row>
    <row r="168" spans="13:33" x14ac:dyDescent="0.35">
      <c r="M168" s="44"/>
      <c r="N168" s="44"/>
      <c r="O168" s="44"/>
      <c r="P168" s="18"/>
      <c r="U168" s="44"/>
      <c r="V168" s="44"/>
      <c r="Z168" s="18"/>
      <c r="AC168" s="44"/>
      <c r="AD168" s="44"/>
      <c r="AE168" s="44"/>
      <c r="AF168" s="44"/>
      <c r="AG168" s="44"/>
    </row>
    <row r="169" spans="13:33" x14ac:dyDescent="0.35">
      <c r="M169" s="44"/>
      <c r="N169" s="44"/>
      <c r="O169" s="44"/>
      <c r="P169" s="18"/>
      <c r="U169" s="44"/>
      <c r="V169" s="44"/>
      <c r="Z169" s="18"/>
      <c r="AC169" s="44"/>
      <c r="AD169" s="44"/>
      <c r="AE169" s="44"/>
      <c r="AF169" s="44"/>
      <c r="AG169" s="44"/>
    </row>
    <row r="170" spans="13:33" x14ac:dyDescent="0.35">
      <c r="M170" s="44"/>
      <c r="N170" s="44"/>
      <c r="O170" s="44"/>
      <c r="P170" s="18"/>
      <c r="U170" s="44"/>
      <c r="V170" s="44"/>
      <c r="Z170" s="18"/>
      <c r="AC170" s="44"/>
      <c r="AD170" s="44"/>
      <c r="AE170" s="44"/>
      <c r="AF170" s="44"/>
      <c r="AG170" s="44"/>
    </row>
    <row r="171" spans="13:33" x14ac:dyDescent="0.35">
      <c r="M171" s="44"/>
      <c r="N171" s="44"/>
      <c r="O171" s="44"/>
      <c r="P171" s="18"/>
      <c r="U171" s="44"/>
      <c r="V171" s="44"/>
      <c r="Z171" s="18"/>
      <c r="AC171" s="44"/>
      <c r="AD171" s="44"/>
      <c r="AE171" s="44"/>
      <c r="AF171" s="44"/>
      <c r="AG171" s="44"/>
    </row>
    <row r="172" spans="13:33" x14ac:dyDescent="0.35">
      <c r="M172" s="44"/>
      <c r="N172" s="44"/>
      <c r="O172" s="44"/>
      <c r="P172" s="18"/>
      <c r="U172" s="44"/>
      <c r="V172" s="44"/>
      <c r="Z172" s="18"/>
      <c r="AC172" s="44"/>
      <c r="AD172" s="44"/>
      <c r="AE172" s="44"/>
      <c r="AF172" s="44"/>
      <c r="AG172" s="44"/>
    </row>
    <row r="173" spans="13:33" x14ac:dyDescent="0.35">
      <c r="M173" s="44"/>
      <c r="N173" s="44"/>
      <c r="O173" s="44"/>
      <c r="P173" s="18"/>
      <c r="U173" s="44"/>
      <c r="V173" s="44"/>
      <c r="Z173" s="18"/>
      <c r="AC173" s="44"/>
      <c r="AD173" s="44"/>
      <c r="AE173" s="44"/>
      <c r="AF173" s="44"/>
      <c r="AG173" s="44"/>
    </row>
    <row r="174" spans="13:33" x14ac:dyDescent="0.35">
      <c r="M174" s="44"/>
      <c r="N174" s="44"/>
      <c r="O174" s="44"/>
      <c r="P174" s="18"/>
      <c r="U174" s="44"/>
      <c r="V174" s="44"/>
      <c r="Z174" s="18"/>
      <c r="AC174" s="44"/>
      <c r="AD174" s="44"/>
      <c r="AE174" s="44"/>
      <c r="AF174" s="44"/>
      <c r="AG174" s="44"/>
    </row>
    <row r="175" spans="13:33" x14ac:dyDescent="0.35">
      <c r="M175" s="44"/>
      <c r="N175" s="44"/>
      <c r="O175" s="44"/>
      <c r="P175" s="18"/>
      <c r="U175" s="44"/>
      <c r="V175" s="44"/>
      <c r="Z175" s="18"/>
      <c r="AC175" s="44"/>
      <c r="AD175" s="44"/>
      <c r="AE175" s="44"/>
      <c r="AF175" s="44"/>
      <c r="AG175" s="44"/>
    </row>
    <row r="176" spans="13:33" x14ac:dyDescent="0.35">
      <c r="M176" s="44"/>
      <c r="N176" s="44"/>
      <c r="O176" s="44"/>
      <c r="P176" s="18"/>
      <c r="U176" s="44"/>
      <c r="V176" s="44"/>
      <c r="Z176" s="18"/>
      <c r="AC176" s="44"/>
      <c r="AD176" s="44"/>
      <c r="AE176" s="44"/>
      <c r="AF176" s="44"/>
      <c r="AG176" s="44"/>
    </row>
    <row r="177" spans="13:33" x14ac:dyDescent="0.35">
      <c r="M177" s="44"/>
      <c r="N177" s="44"/>
      <c r="O177" s="44"/>
      <c r="P177" s="18"/>
      <c r="U177" s="44"/>
      <c r="V177" s="44"/>
      <c r="Z177" s="18"/>
      <c r="AC177" s="44"/>
      <c r="AD177" s="44"/>
      <c r="AE177" s="44"/>
      <c r="AF177" s="44"/>
      <c r="AG177" s="44"/>
    </row>
    <row r="178" spans="13:33" x14ac:dyDescent="0.35">
      <c r="M178" s="44"/>
      <c r="N178" s="44"/>
      <c r="O178" s="44"/>
      <c r="P178" s="18"/>
      <c r="U178" s="44"/>
      <c r="V178" s="44"/>
      <c r="Z178" s="18"/>
      <c r="AC178" s="44"/>
      <c r="AD178" s="44"/>
      <c r="AE178" s="44"/>
      <c r="AF178" s="44"/>
      <c r="AG178" s="44"/>
    </row>
    <row r="179" spans="13:33" x14ac:dyDescent="0.35">
      <c r="M179" s="44"/>
      <c r="N179" s="44"/>
      <c r="O179" s="44"/>
      <c r="P179" s="18"/>
      <c r="U179" s="44"/>
      <c r="V179" s="44"/>
      <c r="Z179" s="18"/>
      <c r="AC179" s="44"/>
      <c r="AD179" s="44"/>
      <c r="AE179" s="44"/>
      <c r="AF179" s="44"/>
      <c r="AG179" s="44"/>
    </row>
    <row r="180" spans="13:33" x14ac:dyDescent="0.35">
      <c r="M180" s="44"/>
      <c r="N180" s="44"/>
      <c r="O180" s="44"/>
      <c r="P180" s="18"/>
      <c r="U180" s="44"/>
      <c r="V180" s="44"/>
      <c r="Z180" s="18"/>
      <c r="AC180" s="44"/>
      <c r="AD180" s="44"/>
      <c r="AE180" s="44"/>
      <c r="AF180" s="44"/>
      <c r="AG180" s="44"/>
    </row>
    <row r="181" spans="13:33" x14ac:dyDescent="0.35">
      <c r="M181" s="44"/>
      <c r="N181" s="44"/>
      <c r="O181" s="44"/>
      <c r="P181" s="18"/>
      <c r="U181" s="44"/>
      <c r="V181" s="44"/>
      <c r="Z181" s="18"/>
      <c r="AC181" s="44"/>
      <c r="AD181" s="44"/>
      <c r="AE181" s="44"/>
      <c r="AF181" s="44"/>
      <c r="AG181" s="44"/>
    </row>
    <row r="182" spans="13:33" x14ac:dyDescent="0.35">
      <c r="P182" s="18"/>
      <c r="U182" s="44"/>
      <c r="V182" s="44"/>
      <c r="Z182" s="18"/>
      <c r="AC182" s="44"/>
      <c r="AD182" s="44"/>
      <c r="AE182" s="44"/>
      <c r="AF182" s="44"/>
      <c r="AG182" s="44"/>
    </row>
    <row r="183" spans="13:33" x14ac:dyDescent="0.35">
      <c r="P183" s="18"/>
      <c r="U183" s="44"/>
      <c r="V183" s="44"/>
      <c r="Z183" s="18"/>
      <c r="AC183" s="44"/>
      <c r="AD183" s="44"/>
      <c r="AE183" s="44"/>
      <c r="AF183" s="44"/>
      <c r="AG183" s="44"/>
    </row>
    <row r="184" spans="13:33" x14ac:dyDescent="0.35">
      <c r="P184" s="18"/>
      <c r="U184" s="44"/>
      <c r="V184" s="44"/>
      <c r="Z184" s="18"/>
      <c r="AC184" s="44"/>
      <c r="AD184" s="44"/>
      <c r="AE184" s="44"/>
      <c r="AF184" s="44"/>
      <c r="AG184" s="44"/>
    </row>
    <row r="185" spans="13:33" x14ac:dyDescent="0.35">
      <c r="P185" s="18"/>
      <c r="U185" s="44"/>
      <c r="V185" s="44"/>
      <c r="Z185" s="18"/>
      <c r="AC185" s="44"/>
      <c r="AD185" s="44"/>
      <c r="AE185" s="44"/>
      <c r="AF185" s="44"/>
      <c r="AG185" s="44"/>
    </row>
    <row r="186" spans="13:33" x14ac:dyDescent="0.35">
      <c r="P186" s="18"/>
      <c r="U186" s="44"/>
      <c r="V186" s="44"/>
      <c r="Z186" s="18"/>
      <c r="AC186" s="44"/>
      <c r="AD186" s="44"/>
      <c r="AE186" s="44"/>
      <c r="AF186" s="44"/>
      <c r="AG186" s="44"/>
    </row>
    <row r="187" spans="13:33" x14ac:dyDescent="0.35">
      <c r="P187" s="18"/>
      <c r="U187" s="44"/>
      <c r="V187" s="44"/>
      <c r="Z187" s="18"/>
      <c r="AC187" s="44"/>
      <c r="AD187" s="44"/>
      <c r="AE187" s="44"/>
      <c r="AF187" s="44"/>
      <c r="AG187" s="44"/>
    </row>
    <row r="188" spans="13:33" x14ac:dyDescent="0.35">
      <c r="P188" s="18"/>
      <c r="U188" s="44"/>
      <c r="V188" s="44"/>
      <c r="Z188" s="18"/>
      <c r="AC188" s="44"/>
      <c r="AD188" s="44"/>
      <c r="AE188" s="44"/>
      <c r="AF188" s="44"/>
      <c r="AG188" s="44"/>
    </row>
    <row r="189" spans="13:33" x14ac:dyDescent="0.35">
      <c r="P189" s="18"/>
      <c r="U189" s="44"/>
      <c r="V189" s="44"/>
      <c r="Z189" s="18"/>
    </row>
    <row r="190" spans="13:33" x14ac:dyDescent="0.35">
      <c r="P190" s="18"/>
      <c r="U190" s="44"/>
      <c r="V190" s="44"/>
      <c r="Z190" s="18"/>
    </row>
    <row r="191" spans="13:33" x14ac:dyDescent="0.35">
      <c r="P191" s="18"/>
      <c r="U191" s="44"/>
      <c r="V191" s="44"/>
      <c r="Z191" s="18"/>
    </row>
    <row r="192" spans="13:33" x14ac:dyDescent="0.35">
      <c r="P192" s="18"/>
      <c r="U192" s="44"/>
      <c r="V192" s="44"/>
      <c r="Z192" s="18"/>
    </row>
    <row r="193" spans="16:26" x14ac:dyDescent="0.35">
      <c r="P193" s="18"/>
      <c r="U193" s="44"/>
      <c r="V193" s="44"/>
      <c r="Z193" s="18"/>
    </row>
    <row r="194" spans="16:26" x14ac:dyDescent="0.35">
      <c r="P194" s="18"/>
      <c r="U194" s="44"/>
      <c r="V194" s="44"/>
      <c r="Z194" s="18"/>
    </row>
    <row r="195" spans="16:26" x14ac:dyDescent="0.35">
      <c r="P195" s="18"/>
      <c r="U195" s="44"/>
      <c r="V195" s="44"/>
      <c r="Z195" s="18"/>
    </row>
    <row r="196" spans="16:26" x14ac:dyDescent="0.35">
      <c r="P196" s="18"/>
      <c r="U196" s="44"/>
      <c r="V196" s="44"/>
      <c r="Z196" s="18"/>
    </row>
    <row r="197" spans="16:26" x14ac:dyDescent="0.35">
      <c r="P197" s="18"/>
      <c r="U197" s="44"/>
      <c r="V197" s="44"/>
      <c r="Z197" s="18"/>
    </row>
    <row r="198" spans="16:26" x14ac:dyDescent="0.35">
      <c r="P198" s="18"/>
      <c r="U198" s="44"/>
      <c r="V198" s="44"/>
      <c r="Z198" s="18"/>
    </row>
    <row r="199" spans="16:26" x14ac:dyDescent="0.35">
      <c r="P199" s="18"/>
      <c r="U199" s="18"/>
      <c r="Z199" s="18"/>
    </row>
    <row r="200" spans="16:26" x14ac:dyDescent="0.35">
      <c r="P200" s="18"/>
      <c r="U200" s="18"/>
      <c r="Z200" s="18"/>
    </row>
    <row r="201" spans="16:26" x14ac:dyDescent="0.35">
      <c r="P201" s="18"/>
      <c r="U201" s="18"/>
      <c r="Z201" s="18"/>
    </row>
    <row r="202" spans="16:26" x14ac:dyDescent="0.35">
      <c r="P202" s="18"/>
      <c r="U202" s="18"/>
      <c r="Z202" s="18"/>
    </row>
    <row r="203" spans="16:26" x14ac:dyDescent="0.35">
      <c r="P203" s="18"/>
      <c r="U203" s="18"/>
      <c r="Z203" s="18"/>
    </row>
    <row r="204" spans="16:26" x14ac:dyDescent="0.35">
      <c r="P204" s="18"/>
      <c r="U204" s="18"/>
      <c r="Z204" s="18"/>
    </row>
    <row r="205" spans="16:26" x14ac:dyDescent="0.35">
      <c r="P205" s="18"/>
      <c r="U205" s="18"/>
      <c r="Z205" s="18"/>
    </row>
    <row r="206" spans="16:26" x14ac:dyDescent="0.35">
      <c r="P206" s="18"/>
      <c r="U206" s="18"/>
      <c r="Z206" s="18"/>
    </row>
    <row r="207" spans="16:26" x14ac:dyDescent="0.35">
      <c r="P207" s="18"/>
      <c r="U207" s="18"/>
      <c r="Z207" s="18"/>
    </row>
    <row r="208" spans="16:26" x14ac:dyDescent="0.35">
      <c r="P208" s="18"/>
      <c r="U208" s="18"/>
      <c r="Z208" s="18"/>
    </row>
    <row r="209" spans="16:26" x14ac:dyDescent="0.35">
      <c r="P209" s="18"/>
      <c r="U209" s="18"/>
      <c r="Z209" s="18"/>
    </row>
    <row r="210" spans="16:26" x14ac:dyDescent="0.35">
      <c r="P210" s="18"/>
      <c r="U210" s="18"/>
      <c r="Z210" s="18"/>
    </row>
    <row r="211" spans="16:26" x14ac:dyDescent="0.35">
      <c r="P211" s="18"/>
      <c r="U211" s="18"/>
      <c r="Z211" s="18"/>
    </row>
    <row r="212" spans="16:26" x14ac:dyDescent="0.35">
      <c r="P212" s="18"/>
      <c r="U212" s="18"/>
      <c r="Z212" s="18"/>
    </row>
    <row r="213" spans="16:26" x14ac:dyDescent="0.35">
      <c r="P213" s="18"/>
      <c r="U213" s="18"/>
      <c r="Z213" s="18"/>
    </row>
    <row r="214" spans="16:26" x14ac:dyDescent="0.35">
      <c r="P214" s="18"/>
      <c r="U214" s="18"/>
      <c r="Z214" s="18"/>
    </row>
    <row r="215" spans="16:26" x14ac:dyDescent="0.35">
      <c r="P215" s="18"/>
      <c r="U215" s="18"/>
      <c r="Z215" s="18"/>
    </row>
    <row r="216" spans="16:26" x14ac:dyDescent="0.35">
      <c r="P216" s="18"/>
      <c r="U216" s="18"/>
      <c r="Z216" s="18"/>
    </row>
    <row r="217" spans="16:26" x14ac:dyDescent="0.35">
      <c r="P217" s="18"/>
      <c r="U217" s="18"/>
      <c r="Z217" s="18"/>
    </row>
    <row r="218" spans="16:26" x14ac:dyDescent="0.35">
      <c r="P218" s="18"/>
      <c r="U218" s="18"/>
      <c r="Z218" s="18"/>
    </row>
    <row r="219" spans="16:26" x14ac:dyDescent="0.35">
      <c r="P219" s="18"/>
      <c r="U219" s="18"/>
      <c r="Z219" s="18"/>
    </row>
    <row r="220" spans="16:26" x14ac:dyDescent="0.35">
      <c r="P220" s="18"/>
      <c r="U220" s="18"/>
      <c r="Z220" s="18"/>
    </row>
    <row r="221" spans="16:26" x14ac:dyDescent="0.35">
      <c r="P221" s="18"/>
      <c r="U221" s="18"/>
      <c r="Z221" s="18"/>
    </row>
    <row r="222" spans="16:26" x14ac:dyDescent="0.35">
      <c r="P222" s="18"/>
      <c r="U222" s="18"/>
      <c r="Z222" s="18"/>
    </row>
    <row r="223" spans="16:26" x14ac:dyDescent="0.35">
      <c r="P223" s="18"/>
      <c r="U223" s="18"/>
      <c r="Z223" s="18"/>
    </row>
    <row r="224" spans="16:26" x14ac:dyDescent="0.35">
      <c r="P224" s="18"/>
      <c r="U224" s="18"/>
      <c r="Z224" s="18"/>
    </row>
    <row r="225" spans="16:26" x14ac:dyDescent="0.35">
      <c r="P225" s="18"/>
      <c r="U225" s="18"/>
      <c r="Z225" s="18"/>
    </row>
    <row r="226" spans="16:26" x14ac:dyDescent="0.35">
      <c r="P226" s="18"/>
      <c r="U226" s="18"/>
      <c r="Z226" s="18"/>
    </row>
    <row r="227" spans="16:26" x14ac:dyDescent="0.35">
      <c r="P227" s="18"/>
      <c r="U227" s="18"/>
      <c r="Z227" s="18"/>
    </row>
    <row r="228" spans="16:26" x14ac:dyDescent="0.35">
      <c r="P228" s="18"/>
      <c r="U228" s="18"/>
      <c r="Z228" s="18"/>
    </row>
    <row r="229" spans="16:26" x14ac:dyDescent="0.35">
      <c r="P229" s="18"/>
      <c r="U229" s="18"/>
      <c r="Z229" s="18"/>
    </row>
    <row r="230" spans="16:26" x14ac:dyDescent="0.35">
      <c r="P230" s="18"/>
      <c r="U230" s="18"/>
      <c r="Z230" s="18"/>
    </row>
    <row r="231" spans="16:26" x14ac:dyDescent="0.35">
      <c r="P231" s="18"/>
      <c r="U231" s="18"/>
      <c r="Z231" s="18"/>
    </row>
    <row r="232" spans="16:26" x14ac:dyDescent="0.35">
      <c r="P232" s="18"/>
      <c r="U232" s="18"/>
      <c r="Z232" s="18"/>
    </row>
    <row r="233" spans="16:26" x14ac:dyDescent="0.35">
      <c r="P233" s="18"/>
      <c r="U233" s="18"/>
      <c r="Z233" s="18"/>
    </row>
    <row r="234" spans="16:26" x14ac:dyDescent="0.35">
      <c r="P234" s="18"/>
      <c r="U234" s="18"/>
      <c r="Z234" s="18"/>
    </row>
    <row r="235" spans="16:26" x14ac:dyDescent="0.35">
      <c r="P235" s="18"/>
      <c r="U235" s="18"/>
      <c r="Z235" s="18"/>
    </row>
    <row r="236" spans="16:26" x14ac:dyDescent="0.35">
      <c r="P236" s="18"/>
      <c r="U236" s="18"/>
      <c r="Z236" s="18"/>
    </row>
    <row r="237" spans="16:26" x14ac:dyDescent="0.35">
      <c r="P237" s="18"/>
      <c r="U237" s="18"/>
      <c r="Z237" s="18"/>
    </row>
    <row r="238" spans="16:26" x14ac:dyDescent="0.35">
      <c r="P238" s="18"/>
      <c r="U238" s="18"/>
      <c r="Z238" s="18"/>
    </row>
    <row r="239" spans="16:26" x14ac:dyDescent="0.35">
      <c r="P239" s="18"/>
      <c r="U239" s="18"/>
      <c r="Z239" s="18"/>
    </row>
    <row r="240" spans="16:26" x14ac:dyDescent="0.35">
      <c r="P240" s="18"/>
      <c r="U240" s="18"/>
      <c r="Z240" s="18"/>
    </row>
    <row r="241" spans="16:26" x14ac:dyDescent="0.35">
      <c r="P241" s="18"/>
      <c r="U241" s="18"/>
      <c r="Z241" s="18"/>
    </row>
    <row r="242" spans="16:26" x14ac:dyDescent="0.35">
      <c r="P242" s="18"/>
      <c r="U242" s="18"/>
      <c r="Z242" s="18"/>
    </row>
    <row r="243" spans="16:26" x14ac:dyDescent="0.35">
      <c r="P243" s="18"/>
      <c r="U243" s="18"/>
      <c r="Z243" s="18"/>
    </row>
    <row r="244" spans="16:26" x14ac:dyDescent="0.35">
      <c r="P244" s="18"/>
      <c r="U244" s="18"/>
      <c r="Z244" s="18"/>
    </row>
    <row r="245" spans="16:26" x14ac:dyDescent="0.35">
      <c r="P245" s="18"/>
      <c r="U245" s="18"/>
      <c r="Z245" s="18"/>
    </row>
    <row r="246" spans="16:26" x14ac:dyDescent="0.35">
      <c r="P246" s="18"/>
      <c r="U246" s="18"/>
      <c r="Z246" s="18"/>
    </row>
    <row r="247" spans="16:26" x14ac:dyDescent="0.35">
      <c r="P247" s="18"/>
      <c r="U247" s="18"/>
      <c r="Z247" s="18"/>
    </row>
    <row r="248" spans="16:26" x14ac:dyDescent="0.35">
      <c r="P248" s="18"/>
      <c r="U248" s="18"/>
      <c r="Z248" s="18"/>
    </row>
    <row r="249" spans="16:26" x14ac:dyDescent="0.35">
      <c r="P249" s="18"/>
      <c r="U249" s="18"/>
      <c r="Z249" s="18"/>
    </row>
    <row r="250" spans="16:26" x14ac:dyDescent="0.35">
      <c r="P250" s="18"/>
      <c r="U250" s="18"/>
      <c r="Z250" s="18"/>
    </row>
    <row r="251" spans="16:26" x14ac:dyDescent="0.35">
      <c r="P251" s="18"/>
      <c r="U251" s="18"/>
      <c r="Z251" s="18"/>
    </row>
    <row r="252" spans="16:26" x14ac:dyDescent="0.35">
      <c r="P252" s="18"/>
      <c r="U252" s="18"/>
      <c r="Z252" s="18"/>
    </row>
    <row r="253" spans="16:26" x14ac:dyDescent="0.35">
      <c r="P253" s="18"/>
      <c r="U253" s="18"/>
      <c r="Z253" s="18"/>
    </row>
    <row r="254" spans="16:26" x14ac:dyDescent="0.35">
      <c r="P254" s="18"/>
      <c r="U254" s="18"/>
      <c r="Z254" s="18"/>
    </row>
    <row r="255" spans="16:26" x14ac:dyDescent="0.35">
      <c r="P255" s="18"/>
      <c r="U255" s="18"/>
      <c r="Z255" s="18"/>
    </row>
    <row r="256" spans="16:26" x14ac:dyDescent="0.35">
      <c r="P256" s="18"/>
      <c r="U256" s="18"/>
      <c r="Z256" s="18"/>
    </row>
    <row r="257" spans="16:26" x14ac:dyDescent="0.35">
      <c r="P257" s="18"/>
      <c r="U257" s="18"/>
      <c r="Z257" s="18"/>
    </row>
    <row r="258" spans="16:26" x14ac:dyDescent="0.35">
      <c r="P258" s="18"/>
      <c r="U258" s="18"/>
      <c r="Z258" s="18"/>
    </row>
    <row r="259" spans="16:26" x14ac:dyDescent="0.35">
      <c r="P259" s="18"/>
      <c r="U259" s="18"/>
      <c r="Z259" s="18"/>
    </row>
    <row r="260" spans="16:26" x14ac:dyDescent="0.35">
      <c r="P260" s="18"/>
      <c r="U260" s="18"/>
      <c r="Z260" s="18"/>
    </row>
    <row r="261" spans="16:26" x14ac:dyDescent="0.35">
      <c r="P261" s="18"/>
      <c r="U261" s="18"/>
      <c r="Z261" s="18"/>
    </row>
    <row r="262" spans="16:26" x14ac:dyDescent="0.35">
      <c r="P262" s="18"/>
      <c r="U262" s="18"/>
      <c r="Z262" s="18"/>
    </row>
    <row r="263" spans="16:26" x14ac:dyDescent="0.35">
      <c r="P263" s="18"/>
      <c r="U263" s="18"/>
      <c r="Z263" s="18"/>
    </row>
    <row r="264" spans="16:26" x14ac:dyDescent="0.35">
      <c r="P264" s="18"/>
      <c r="U264" s="18"/>
      <c r="Z264" s="18"/>
    </row>
    <row r="265" spans="16:26" x14ac:dyDescent="0.35">
      <c r="P265" s="18"/>
      <c r="U265" s="18"/>
      <c r="Z265" s="18"/>
    </row>
    <row r="266" spans="16:26" x14ac:dyDescent="0.35">
      <c r="P266" s="18"/>
      <c r="U266" s="18"/>
      <c r="Z266" s="18"/>
    </row>
    <row r="267" spans="16:26" x14ac:dyDescent="0.35">
      <c r="P267" s="18"/>
      <c r="U267" s="18"/>
      <c r="Z267" s="18"/>
    </row>
    <row r="268" spans="16:26" x14ac:dyDescent="0.35">
      <c r="P268" s="18"/>
      <c r="U268" s="18"/>
      <c r="Z268" s="18"/>
    </row>
    <row r="269" spans="16:26" x14ac:dyDescent="0.35">
      <c r="P269" s="18"/>
      <c r="U269" s="18"/>
      <c r="Z269" s="18"/>
    </row>
    <row r="270" spans="16:26" x14ac:dyDescent="0.35">
      <c r="P270" s="18"/>
      <c r="U270" s="18"/>
      <c r="Z270" s="18"/>
    </row>
    <row r="271" spans="16:26" x14ac:dyDescent="0.35">
      <c r="P271" s="18"/>
      <c r="U271" s="18"/>
      <c r="Z271" s="18"/>
    </row>
    <row r="272" spans="16:26" x14ac:dyDescent="0.35">
      <c r="P272" s="18"/>
      <c r="U272" s="18"/>
      <c r="Z272" s="18"/>
    </row>
    <row r="273" spans="16:26" x14ac:dyDescent="0.35">
      <c r="P273" s="18"/>
      <c r="U273" s="18"/>
      <c r="Z273" s="18"/>
    </row>
    <row r="274" spans="16:26" x14ac:dyDescent="0.35">
      <c r="P274" s="18"/>
      <c r="U274" s="18"/>
      <c r="Z274" s="18"/>
    </row>
    <row r="275" spans="16:26" x14ac:dyDescent="0.35">
      <c r="P275" s="18"/>
      <c r="U275" s="18"/>
      <c r="Z275" s="18"/>
    </row>
    <row r="276" spans="16:26" x14ac:dyDescent="0.35">
      <c r="P276" s="18"/>
      <c r="U276" s="18"/>
      <c r="Z276" s="18"/>
    </row>
    <row r="277" spans="16:26" x14ac:dyDescent="0.35">
      <c r="P277" s="18"/>
      <c r="U277" s="18"/>
      <c r="Z277" s="18"/>
    </row>
    <row r="278" spans="16:26" x14ac:dyDescent="0.35">
      <c r="P278" s="18"/>
      <c r="U278" s="18"/>
      <c r="Z278" s="18"/>
    </row>
    <row r="279" spans="16:26" x14ac:dyDescent="0.35">
      <c r="P279" s="18"/>
      <c r="U279" s="18"/>
      <c r="Z279" s="18"/>
    </row>
    <row r="280" spans="16:26" x14ac:dyDescent="0.35">
      <c r="P280" s="18"/>
      <c r="U280" s="18"/>
      <c r="Z280" s="18"/>
    </row>
    <row r="281" spans="16:26" x14ac:dyDescent="0.35">
      <c r="P281" s="18"/>
      <c r="U281" s="18"/>
      <c r="Z281" s="18"/>
    </row>
    <row r="282" spans="16:26" x14ac:dyDescent="0.35">
      <c r="P282" s="18"/>
      <c r="U282" s="18"/>
      <c r="Z282" s="18"/>
    </row>
    <row r="283" spans="16:26" x14ac:dyDescent="0.35">
      <c r="P283" s="18"/>
      <c r="U283" s="18"/>
      <c r="Z283" s="18"/>
    </row>
    <row r="284" spans="16:26" x14ac:dyDescent="0.35">
      <c r="P284" s="18"/>
      <c r="U284" s="18"/>
      <c r="Z284" s="18"/>
    </row>
    <row r="285" spans="16:26" x14ac:dyDescent="0.35">
      <c r="P285" s="18"/>
      <c r="U285" s="18"/>
      <c r="Z285" s="18"/>
    </row>
    <row r="286" spans="16:26" x14ac:dyDescent="0.35">
      <c r="P286" s="18"/>
      <c r="U286" s="18"/>
      <c r="Z286" s="18"/>
    </row>
    <row r="287" spans="16:26" x14ac:dyDescent="0.35">
      <c r="P287" s="18"/>
      <c r="U287" s="18"/>
      <c r="Z287" s="18"/>
    </row>
    <row r="288" spans="16:26" x14ac:dyDescent="0.35">
      <c r="P288" s="18"/>
      <c r="U288" s="18"/>
      <c r="Z288" s="18"/>
    </row>
    <row r="289" spans="16:26" x14ac:dyDescent="0.35">
      <c r="P289" s="18"/>
      <c r="U289" s="18"/>
      <c r="Z289" s="18"/>
    </row>
    <row r="290" spans="16:26" x14ac:dyDescent="0.35">
      <c r="P290" s="18"/>
      <c r="U290" s="18"/>
      <c r="Z290" s="18"/>
    </row>
    <row r="291" spans="16:26" x14ac:dyDescent="0.35">
      <c r="P291" s="18"/>
      <c r="U291" s="18"/>
      <c r="Z291" s="18"/>
    </row>
    <row r="292" spans="16:26" x14ac:dyDescent="0.35">
      <c r="P292" s="18"/>
      <c r="U292" s="18"/>
      <c r="Z292" s="18"/>
    </row>
    <row r="293" spans="16:26" x14ac:dyDescent="0.35">
      <c r="P293" s="18"/>
      <c r="U293" s="18"/>
      <c r="Z293" s="18"/>
    </row>
    <row r="294" spans="16:26" x14ac:dyDescent="0.35">
      <c r="P294" s="18"/>
      <c r="U294" s="18"/>
      <c r="Z294" s="18"/>
    </row>
    <row r="295" spans="16:26" x14ac:dyDescent="0.35">
      <c r="P295" s="18"/>
      <c r="U295" s="18"/>
      <c r="Z295" s="18"/>
    </row>
    <row r="296" spans="16:26" x14ac:dyDescent="0.35">
      <c r="P296" s="18"/>
      <c r="U296" s="18"/>
      <c r="Z296" s="18"/>
    </row>
    <row r="297" spans="16:26" x14ac:dyDescent="0.35">
      <c r="P297" s="18"/>
      <c r="U297" s="18"/>
      <c r="Z297" s="18"/>
    </row>
    <row r="298" spans="16:26" x14ac:dyDescent="0.35">
      <c r="P298" s="18"/>
      <c r="U298" s="18"/>
      <c r="Z298" s="18"/>
    </row>
    <row r="299" spans="16:26" x14ac:dyDescent="0.35">
      <c r="P299" s="18"/>
      <c r="U299" s="18"/>
      <c r="Z299" s="18"/>
    </row>
    <row r="300" spans="16:26" x14ac:dyDescent="0.35">
      <c r="P300" s="18"/>
      <c r="U300" s="18"/>
      <c r="Z300" s="18"/>
    </row>
    <row r="301" spans="16:26" x14ac:dyDescent="0.35">
      <c r="P301" s="18"/>
      <c r="U301" s="18"/>
      <c r="Z301" s="18"/>
    </row>
    <row r="302" spans="16:26" x14ac:dyDescent="0.35">
      <c r="P302" s="18"/>
      <c r="U302" s="18"/>
      <c r="Z302" s="18"/>
    </row>
    <row r="303" spans="16:26" x14ac:dyDescent="0.35">
      <c r="P303" s="18"/>
      <c r="U303" s="18"/>
      <c r="Z303" s="18"/>
    </row>
    <row r="304" spans="16:26" x14ac:dyDescent="0.35">
      <c r="P304" s="18"/>
      <c r="U304" s="18"/>
      <c r="Z304" s="18"/>
    </row>
    <row r="305" spans="16:26" x14ac:dyDescent="0.35">
      <c r="P305" s="18"/>
      <c r="U305" s="18"/>
      <c r="Z305" s="18"/>
    </row>
    <row r="306" spans="16:26" x14ac:dyDescent="0.35">
      <c r="P306" s="18"/>
      <c r="U306" s="18"/>
      <c r="Z306" s="18"/>
    </row>
    <row r="307" spans="16:26" x14ac:dyDescent="0.35">
      <c r="P307" s="18"/>
      <c r="U307" s="18"/>
      <c r="Z307" s="18"/>
    </row>
    <row r="308" spans="16:26" x14ac:dyDescent="0.35">
      <c r="P308" s="18"/>
      <c r="U308" s="18"/>
      <c r="Z308" s="18"/>
    </row>
    <row r="309" spans="16:26" x14ac:dyDescent="0.35">
      <c r="P309" s="18"/>
      <c r="U309" s="18"/>
      <c r="Z309" s="18"/>
    </row>
    <row r="310" spans="16:26" x14ac:dyDescent="0.35">
      <c r="P310" s="18"/>
      <c r="U310" s="18"/>
      <c r="Z310" s="18"/>
    </row>
    <row r="311" spans="16:26" x14ac:dyDescent="0.35">
      <c r="P311" s="18"/>
      <c r="U311" s="18"/>
      <c r="Z311" s="18"/>
    </row>
    <row r="312" spans="16:26" x14ac:dyDescent="0.35">
      <c r="P312" s="18"/>
      <c r="U312" s="18"/>
      <c r="Z312" s="18"/>
    </row>
    <row r="313" spans="16:26" x14ac:dyDescent="0.35">
      <c r="P313" s="18"/>
      <c r="U313" s="18"/>
      <c r="Z313" s="18"/>
    </row>
    <row r="314" spans="16:26" x14ac:dyDescent="0.35">
      <c r="P314" s="18"/>
      <c r="U314" s="18"/>
      <c r="Z314" s="18"/>
    </row>
    <row r="315" spans="16:26" x14ac:dyDescent="0.35">
      <c r="P315" s="18"/>
      <c r="U315" s="18"/>
      <c r="Z315" s="18"/>
    </row>
    <row r="316" spans="16:26" x14ac:dyDescent="0.35">
      <c r="P316" s="18"/>
      <c r="U316" s="18"/>
      <c r="Z316" s="18"/>
    </row>
    <row r="317" spans="16:26" x14ac:dyDescent="0.35">
      <c r="P317" s="18"/>
      <c r="U317" s="18"/>
      <c r="Z317" s="18"/>
    </row>
    <row r="318" spans="16:26" x14ac:dyDescent="0.35">
      <c r="P318" s="18"/>
      <c r="U318" s="18"/>
      <c r="Z318" s="18"/>
    </row>
    <row r="319" spans="16:26" x14ac:dyDescent="0.35">
      <c r="P319" s="18"/>
      <c r="U319" s="18"/>
      <c r="Z319" s="18"/>
    </row>
    <row r="320" spans="16:26" x14ac:dyDescent="0.35">
      <c r="P320" s="18"/>
      <c r="U320" s="18"/>
      <c r="Z320" s="18"/>
    </row>
    <row r="321" spans="16:26" x14ac:dyDescent="0.35">
      <c r="P321" s="18"/>
      <c r="U321" s="18"/>
      <c r="Z321" s="18"/>
    </row>
    <row r="322" spans="16:26" x14ac:dyDescent="0.35">
      <c r="P322" s="18"/>
      <c r="U322" s="18"/>
      <c r="Z322" s="18"/>
    </row>
    <row r="323" spans="16:26" x14ac:dyDescent="0.35">
      <c r="P323" s="18"/>
      <c r="U323" s="18"/>
      <c r="Z323" s="18"/>
    </row>
    <row r="324" spans="16:26" x14ac:dyDescent="0.35">
      <c r="P324" s="18"/>
      <c r="U324" s="18"/>
      <c r="Z324" s="18"/>
    </row>
    <row r="325" spans="16:26" x14ac:dyDescent="0.35">
      <c r="P325" s="18"/>
      <c r="U325" s="18"/>
      <c r="Z325" s="18"/>
    </row>
    <row r="326" spans="16:26" x14ac:dyDescent="0.35">
      <c r="P326" s="18"/>
      <c r="U326" s="18"/>
      <c r="Z326" s="18"/>
    </row>
    <row r="327" spans="16:26" x14ac:dyDescent="0.35">
      <c r="P327" s="18"/>
      <c r="U327" s="18"/>
      <c r="Z327" s="18"/>
    </row>
    <row r="328" spans="16:26" x14ac:dyDescent="0.35">
      <c r="P328" s="18"/>
      <c r="U328" s="18"/>
      <c r="Z328" s="18"/>
    </row>
    <row r="329" spans="16:26" x14ac:dyDescent="0.35">
      <c r="P329" s="18"/>
      <c r="U329" s="18"/>
      <c r="Z329" s="18"/>
    </row>
    <row r="330" spans="16:26" x14ac:dyDescent="0.35">
      <c r="P330" s="18"/>
      <c r="U330" s="18"/>
      <c r="Z330" s="18"/>
    </row>
    <row r="331" spans="16:26" x14ac:dyDescent="0.35">
      <c r="P331" s="18"/>
      <c r="U331" s="18"/>
      <c r="Z331" s="18"/>
    </row>
    <row r="332" spans="16:26" x14ac:dyDescent="0.35">
      <c r="P332" s="18"/>
      <c r="U332" s="18"/>
      <c r="Z332" s="18"/>
    </row>
    <row r="333" spans="16:26" x14ac:dyDescent="0.35">
      <c r="P333" s="18"/>
      <c r="U333" s="18"/>
      <c r="Z333" s="18"/>
    </row>
    <row r="334" spans="16:26" x14ac:dyDescent="0.35">
      <c r="P334" s="18"/>
      <c r="U334" s="18"/>
      <c r="Z334" s="18"/>
    </row>
    <row r="335" spans="16:26" x14ac:dyDescent="0.35">
      <c r="P335" s="18"/>
      <c r="U335" s="18"/>
      <c r="Z335" s="18"/>
    </row>
    <row r="336" spans="16:26" x14ac:dyDescent="0.35">
      <c r="P336" s="18"/>
      <c r="U336" s="18"/>
      <c r="Z336" s="18"/>
    </row>
    <row r="337" spans="16:26" x14ac:dyDescent="0.35">
      <c r="P337" s="18"/>
      <c r="U337" s="18"/>
      <c r="Z337" s="18"/>
    </row>
    <row r="338" spans="16:26" x14ac:dyDescent="0.35">
      <c r="P338" s="18"/>
      <c r="U338" s="18"/>
      <c r="Z338" s="18"/>
    </row>
    <row r="339" spans="16:26" x14ac:dyDescent="0.35">
      <c r="P339" s="18"/>
      <c r="U339" s="18"/>
      <c r="Z339" s="18"/>
    </row>
    <row r="340" spans="16:26" x14ac:dyDescent="0.35">
      <c r="P340" s="18"/>
      <c r="U340" s="18"/>
      <c r="Z340" s="18"/>
    </row>
    <row r="341" spans="16:26" x14ac:dyDescent="0.35">
      <c r="P341" s="18"/>
      <c r="U341" s="18"/>
      <c r="Z341" s="18"/>
    </row>
    <row r="342" spans="16:26" x14ac:dyDescent="0.35">
      <c r="P342" s="18"/>
      <c r="U342" s="18"/>
      <c r="Z342" s="18"/>
    </row>
    <row r="343" spans="16:26" x14ac:dyDescent="0.35">
      <c r="P343" s="18"/>
      <c r="U343" s="18"/>
      <c r="Z343" s="18"/>
    </row>
    <row r="344" spans="16:26" x14ac:dyDescent="0.35">
      <c r="P344" s="18"/>
      <c r="U344" s="18"/>
      <c r="Z344" s="18"/>
    </row>
    <row r="345" spans="16:26" x14ac:dyDescent="0.35">
      <c r="P345" s="18"/>
      <c r="U345" s="18"/>
      <c r="Z345" s="18"/>
    </row>
    <row r="346" spans="16:26" x14ac:dyDescent="0.35">
      <c r="P346" s="18"/>
      <c r="U346" s="18"/>
      <c r="Z346" s="18"/>
    </row>
    <row r="347" spans="16:26" x14ac:dyDescent="0.35">
      <c r="P347" s="18"/>
      <c r="U347" s="18"/>
      <c r="Z347" s="18"/>
    </row>
    <row r="348" spans="16:26" x14ac:dyDescent="0.35">
      <c r="P348" s="18"/>
      <c r="U348" s="18"/>
      <c r="Z348" s="18"/>
    </row>
    <row r="349" spans="16:26" x14ac:dyDescent="0.35">
      <c r="P349" s="18"/>
      <c r="U349" s="18"/>
      <c r="Z349" s="18"/>
    </row>
    <row r="350" spans="16:26" x14ac:dyDescent="0.35">
      <c r="P350" s="18"/>
      <c r="U350" s="18"/>
      <c r="Z350" s="18"/>
    </row>
    <row r="351" spans="16:26" x14ac:dyDescent="0.35">
      <c r="P351" s="18"/>
      <c r="U351" s="18"/>
      <c r="Z351" s="18"/>
    </row>
    <row r="352" spans="16:26" x14ac:dyDescent="0.35">
      <c r="P352" s="18"/>
      <c r="U352" s="18"/>
      <c r="Z352" s="18"/>
    </row>
    <row r="353" spans="16:26" x14ac:dyDescent="0.35">
      <c r="P353" s="18"/>
      <c r="U353" s="18"/>
      <c r="Z353" s="18"/>
    </row>
    <row r="354" spans="16:26" x14ac:dyDescent="0.35">
      <c r="P354" s="18"/>
      <c r="U354" s="18"/>
      <c r="Z354" s="18"/>
    </row>
    <row r="355" spans="16:26" x14ac:dyDescent="0.35">
      <c r="P355" s="18"/>
      <c r="U355" s="18"/>
      <c r="Z355" s="18"/>
    </row>
    <row r="356" spans="16:26" x14ac:dyDescent="0.35">
      <c r="P356" s="18"/>
      <c r="U356" s="18"/>
      <c r="Z356" s="18"/>
    </row>
    <row r="357" spans="16:26" x14ac:dyDescent="0.35">
      <c r="P357" s="18"/>
      <c r="U357" s="18"/>
      <c r="Z357" s="18"/>
    </row>
    <row r="358" spans="16:26" x14ac:dyDescent="0.35">
      <c r="P358" s="18"/>
      <c r="U358" s="18"/>
      <c r="Z358" s="18"/>
    </row>
    <row r="359" spans="16:26" x14ac:dyDescent="0.35">
      <c r="P359" s="18"/>
      <c r="U359" s="18"/>
      <c r="Z359" s="18"/>
    </row>
    <row r="360" spans="16:26" x14ac:dyDescent="0.35">
      <c r="P360" s="18"/>
      <c r="U360" s="18"/>
      <c r="Z360" s="18"/>
    </row>
    <row r="361" spans="16:26" x14ac:dyDescent="0.35">
      <c r="P361" s="18"/>
      <c r="U361" s="18"/>
      <c r="Z361" s="18"/>
    </row>
    <row r="362" spans="16:26" x14ac:dyDescent="0.35">
      <c r="P362" s="18"/>
      <c r="U362" s="18"/>
      <c r="Z362" s="18"/>
    </row>
    <row r="363" spans="16:26" x14ac:dyDescent="0.35">
      <c r="P363" s="18"/>
      <c r="U363" s="18"/>
      <c r="Z363" s="18"/>
    </row>
    <row r="364" spans="16:26" x14ac:dyDescent="0.35">
      <c r="P364" s="18"/>
      <c r="U364" s="18"/>
      <c r="Z364" s="18"/>
    </row>
    <row r="365" spans="16:26" x14ac:dyDescent="0.35">
      <c r="P365" s="18"/>
      <c r="U365" s="18"/>
      <c r="Z365" s="18"/>
    </row>
    <row r="366" spans="16:26" x14ac:dyDescent="0.35">
      <c r="P366" s="18"/>
      <c r="U366" s="18"/>
      <c r="Z366" s="18"/>
    </row>
    <row r="367" spans="16:26" x14ac:dyDescent="0.35">
      <c r="P367" s="18"/>
      <c r="U367" s="18"/>
      <c r="Z367" s="18"/>
    </row>
    <row r="368" spans="16:26" x14ac:dyDescent="0.35">
      <c r="P368" s="18"/>
      <c r="U368" s="18"/>
      <c r="Z368" s="18"/>
    </row>
    <row r="369" spans="16:26" x14ac:dyDescent="0.35">
      <c r="P369" s="18"/>
      <c r="U369" s="18"/>
      <c r="Z369" s="18"/>
    </row>
    <row r="370" spans="16:26" x14ac:dyDescent="0.35">
      <c r="P370" s="18"/>
      <c r="U370" s="18"/>
      <c r="Z370" s="18"/>
    </row>
    <row r="371" spans="16:26" x14ac:dyDescent="0.35">
      <c r="P371" s="18"/>
      <c r="U371" s="18"/>
      <c r="Z371" s="18"/>
    </row>
    <row r="372" spans="16:26" x14ac:dyDescent="0.35">
      <c r="P372" s="18"/>
      <c r="U372" s="18"/>
      <c r="Z372" s="18"/>
    </row>
    <row r="373" spans="16:26" x14ac:dyDescent="0.35">
      <c r="P373" s="18"/>
      <c r="U373" s="18"/>
      <c r="Z373" s="18"/>
    </row>
    <row r="374" spans="16:26" x14ac:dyDescent="0.35">
      <c r="P374" s="18"/>
      <c r="U374" s="18"/>
      <c r="Z374" s="18"/>
    </row>
    <row r="375" spans="16:26" x14ac:dyDescent="0.35">
      <c r="P375" s="18"/>
      <c r="U375" s="18"/>
      <c r="Z375" s="18"/>
    </row>
    <row r="376" spans="16:26" x14ac:dyDescent="0.35">
      <c r="P376" s="18"/>
      <c r="U376" s="18"/>
      <c r="Z376" s="18"/>
    </row>
    <row r="377" spans="16:26" x14ac:dyDescent="0.35">
      <c r="P377" s="18"/>
      <c r="U377" s="18"/>
      <c r="Z377" s="18"/>
    </row>
    <row r="378" spans="16:26" x14ac:dyDescent="0.35">
      <c r="P378" s="18"/>
      <c r="U378" s="18"/>
      <c r="Z378" s="18"/>
    </row>
    <row r="379" spans="16:26" x14ac:dyDescent="0.35">
      <c r="P379" s="18"/>
      <c r="U379" s="18"/>
      <c r="Z379" s="18"/>
    </row>
    <row r="380" spans="16:26" x14ac:dyDescent="0.35">
      <c r="P380" s="18"/>
      <c r="U380" s="18"/>
      <c r="Z380" s="18"/>
    </row>
    <row r="381" spans="16:26" x14ac:dyDescent="0.35">
      <c r="P381" s="18"/>
      <c r="U381" s="18"/>
      <c r="Z381" s="18"/>
    </row>
    <row r="382" spans="16:26" x14ac:dyDescent="0.35">
      <c r="P382" s="18"/>
      <c r="U382" s="18"/>
      <c r="Z382" s="18"/>
    </row>
    <row r="383" spans="16:26" x14ac:dyDescent="0.35">
      <c r="P383" s="18"/>
      <c r="U383" s="18"/>
      <c r="Z383" s="18"/>
    </row>
    <row r="384" spans="16:26" x14ac:dyDescent="0.35">
      <c r="P384" s="18"/>
      <c r="U384" s="18"/>
      <c r="Z384" s="18"/>
    </row>
    <row r="385" spans="16:26" x14ac:dyDescent="0.35">
      <c r="P385" s="18"/>
      <c r="U385" s="18"/>
      <c r="Z385" s="18"/>
    </row>
    <row r="386" spans="16:26" x14ac:dyDescent="0.35">
      <c r="P386" s="18"/>
      <c r="U386" s="18"/>
      <c r="Z386" s="18"/>
    </row>
    <row r="387" spans="16:26" x14ac:dyDescent="0.35">
      <c r="P387" s="18"/>
      <c r="U387" s="18"/>
      <c r="Z387" s="18"/>
    </row>
    <row r="388" spans="16:26" x14ac:dyDescent="0.35">
      <c r="P388" s="18"/>
      <c r="U388" s="18"/>
      <c r="Z388" s="18"/>
    </row>
    <row r="389" spans="16:26" x14ac:dyDescent="0.35">
      <c r="P389" s="18"/>
      <c r="U389" s="18"/>
      <c r="Z389" s="18"/>
    </row>
    <row r="390" spans="16:26" x14ac:dyDescent="0.35">
      <c r="P390" s="18"/>
      <c r="U390" s="18"/>
      <c r="Z390" s="18"/>
    </row>
    <row r="391" spans="16:26" x14ac:dyDescent="0.35">
      <c r="P391" s="18"/>
      <c r="U391" s="18"/>
      <c r="Z391" s="18"/>
    </row>
    <row r="392" spans="16:26" x14ac:dyDescent="0.35">
      <c r="P392" s="18"/>
      <c r="U392" s="18"/>
      <c r="Z392" s="18"/>
    </row>
    <row r="393" spans="16:26" x14ac:dyDescent="0.35">
      <c r="P393" s="18"/>
      <c r="U393" s="18"/>
      <c r="Z393" s="18"/>
    </row>
    <row r="394" spans="16:26" x14ac:dyDescent="0.35">
      <c r="P394" s="18"/>
      <c r="U394" s="18"/>
      <c r="Z394" s="18"/>
    </row>
    <row r="395" spans="16:26" x14ac:dyDescent="0.35">
      <c r="P395" s="18"/>
      <c r="U395" s="18"/>
      <c r="Z395" s="18"/>
    </row>
    <row r="396" spans="16:26" x14ac:dyDescent="0.35">
      <c r="P396" s="18"/>
      <c r="U396" s="18"/>
      <c r="Z396" s="18"/>
    </row>
    <row r="397" spans="16:26" x14ac:dyDescent="0.35">
      <c r="P397" s="18"/>
      <c r="U397" s="18"/>
      <c r="Z397" s="18"/>
    </row>
    <row r="398" spans="16:26" x14ac:dyDescent="0.35">
      <c r="P398" s="18"/>
      <c r="U398" s="18"/>
      <c r="Z398" s="18"/>
    </row>
    <row r="399" spans="16:26" x14ac:dyDescent="0.35">
      <c r="P399" s="18"/>
      <c r="U399" s="18"/>
      <c r="Z399" s="18"/>
    </row>
    <row r="400" spans="16:26" x14ac:dyDescent="0.35">
      <c r="P400" s="18"/>
      <c r="U400" s="18"/>
      <c r="Z400" s="18"/>
    </row>
    <row r="401" spans="16:26" x14ac:dyDescent="0.35">
      <c r="P401" s="18"/>
      <c r="U401" s="18"/>
      <c r="Z401" s="18"/>
    </row>
    <row r="402" spans="16:26" x14ac:dyDescent="0.35">
      <c r="P402" s="18"/>
      <c r="U402" s="18"/>
      <c r="Z402" s="18"/>
    </row>
    <row r="403" spans="16:26" x14ac:dyDescent="0.35">
      <c r="P403" s="18"/>
      <c r="U403" s="18"/>
      <c r="Z403" s="18"/>
    </row>
    <row r="404" spans="16:26" x14ac:dyDescent="0.35">
      <c r="P404" s="18"/>
      <c r="U404" s="18"/>
      <c r="Z404" s="18"/>
    </row>
    <row r="405" spans="16:26" x14ac:dyDescent="0.35">
      <c r="P405" s="18"/>
      <c r="U405" s="18"/>
      <c r="Z405" s="18"/>
    </row>
    <row r="406" spans="16:26" x14ac:dyDescent="0.35">
      <c r="P406" s="18"/>
      <c r="U406" s="18"/>
      <c r="Z406" s="18"/>
    </row>
    <row r="407" spans="16:26" x14ac:dyDescent="0.35">
      <c r="P407" s="18"/>
      <c r="U407" s="18"/>
      <c r="Z407" s="18"/>
    </row>
    <row r="408" spans="16:26" x14ac:dyDescent="0.35">
      <c r="P408" s="18"/>
      <c r="U408" s="18"/>
      <c r="Z408" s="18"/>
    </row>
    <row r="409" spans="16:26" x14ac:dyDescent="0.35">
      <c r="P409" s="18"/>
      <c r="U409" s="18"/>
      <c r="Z409" s="18"/>
    </row>
    <row r="410" spans="16:26" x14ac:dyDescent="0.35">
      <c r="P410" s="18"/>
      <c r="U410" s="18"/>
      <c r="Z410" s="18"/>
    </row>
    <row r="411" spans="16:26" x14ac:dyDescent="0.35">
      <c r="P411" s="18"/>
      <c r="U411" s="18"/>
      <c r="Z411" s="18"/>
    </row>
    <row r="412" spans="16:26" x14ac:dyDescent="0.35">
      <c r="P412" s="18"/>
      <c r="U412" s="18"/>
      <c r="Z412" s="18"/>
    </row>
    <row r="413" spans="16:26" x14ac:dyDescent="0.35">
      <c r="P413" s="18"/>
      <c r="U413" s="18"/>
      <c r="Z413" s="18"/>
    </row>
    <row r="414" spans="16:26" x14ac:dyDescent="0.35">
      <c r="P414" s="18"/>
      <c r="U414" s="18"/>
      <c r="Z414" s="18"/>
    </row>
    <row r="415" spans="16:26" x14ac:dyDescent="0.35">
      <c r="P415" s="18"/>
      <c r="U415" s="18"/>
      <c r="Z415" s="18"/>
    </row>
    <row r="416" spans="16:26" x14ac:dyDescent="0.35">
      <c r="P416" s="18"/>
      <c r="U416" s="18"/>
      <c r="Z416" s="18"/>
    </row>
    <row r="417" spans="16:26" x14ac:dyDescent="0.35">
      <c r="P417" s="18"/>
      <c r="U417" s="18"/>
      <c r="Z417" s="18"/>
    </row>
    <row r="418" spans="16:26" x14ac:dyDescent="0.35">
      <c r="P418" s="18"/>
      <c r="U418" s="18"/>
      <c r="Z418" s="18"/>
    </row>
    <row r="419" spans="16:26" x14ac:dyDescent="0.35">
      <c r="P419" s="18"/>
      <c r="U419" s="18"/>
      <c r="Z419" s="18"/>
    </row>
    <row r="420" spans="16:26" x14ac:dyDescent="0.35">
      <c r="P420" s="18"/>
      <c r="U420" s="18"/>
      <c r="Z420" s="18"/>
    </row>
    <row r="421" spans="16:26" x14ac:dyDescent="0.35">
      <c r="P421" s="18"/>
      <c r="U421" s="18"/>
      <c r="Z421" s="18"/>
    </row>
    <row r="422" spans="16:26" x14ac:dyDescent="0.35">
      <c r="P422" s="18"/>
      <c r="U422" s="18"/>
      <c r="Z422" s="18"/>
    </row>
    <row r="423" spans="16:26" x14ac:dyDescent="0.35">
      <c r="P423" s="18"/>
      <c r="U423" s="18"/>
      <c r="Z423" s="18"/>
    </row>
    <row r="424" spans="16:26" x14ac:dyDescent="0.35">
      <c r="P424" s="18"/>
      <c r="U424" s="18"/>
      <c r="Z424" s="18"/>
    </row>
    <row r="425" spans="16:26" x14ac:dyDescent="0.35">
      <c r="P425" s="18"/>
      <c r="U425" s="18"/>
      <c r="Z425" s="18"/>
    </row>
    <row r="426" spans="16:26" x14ac:dyDescent="0.35">
      <c r="P426" s="18"/>
      <c r="U426" s="18"/>
      <c r="Z426" s="18"/>
    </row>
    <row r="427" spans="16:26" x14ac:dyDescent="0.35">
      <c r="P427" s="18"/>
      <c r="U427" s="18"/>
      <c r="Z427" s="18"/>
    </row>
    <row r="428" spans="16:26" x14ac:dyDescent="0.35">
      <c r="P428" s="18"/>
      <c r="U428" s="18"/>
      <c r="Z428" s="18"/>
    </row>
    <row r="429" spans="16:26" x14ac:dyDescent="0.35">
      <c r="P429" s="18"/>
      <c r="U429" s="18"/>
      <c r="Z429" s="18"/>
    </row>
    <row r="430" spans="16:26" x14ac:dyDescent="0.35">
      <c r="P430" s="18"/>
      <c r="U430" s="18"/>
      <c r="Z430" s="18"/>
    </row>
    <row r="431" spans="16:26" x14ac:dyDescent="0.35">
      <c r="P431" s="18"/>
      <c r="U431" s="18"/>
      <c r="Z431" s="18"/>
    </row>
    <row r="432" spans="16:26" x14ac:dyDescent="0.35">
      <c r="P432" s="18"/>
      <c r="U432" s="18"/>
      <c r="Z432" s="18"/>
    </row>
    <row r="433" spans="16:26" x14ac:dyDescent="0.35">
      <c r="P433" s="18"/>
      <c r="U433" s="18"/>
      <c r="Z433" s="18"/>
    </row>
    <row r="434" spans="16:26" x14ac:dyDescent="0.35">
      <c r="P434" s="18"/>
      <c r="U434" s="18"/>
      <c r="Z434" s="18"/>
    </row>
    <row r="435" spans="16:26" x14ac:dyDescent="0.35">
      <c r="P435" s="18"/>
      <c r="U435" s="18"/>
      <c r="Z435" s="18"/>
    </row>
    <row r="436" spans="16:26" x14ac:dyDescent="0.35">
      <c r="P436" s="18"/>
      <c r="U436" s="18"/>
      <c r="Z436" s="18"/>
    </row>
    <row r="437" spans="16:26" x14ac:dyDescent="0.35">
      <c r="P437" s="18"/>
      <c r="U437" s="18"/>
      <c r="Z437" s="18"/>
    </row>
    <row r="438" spans="16:26" x14ac:dyDescent="0.35">
      <c r="P438" s="18"/>
      <c r="U438" s="18"/>
      <c r="Z438" s="18"/>
    </row>
    <row r="439" spans="16:26" x14ac:dyDescent="0.35">
      <c r="P439" s="18"/>
      <c r="U439" s="18"/>
      <c r="Z439" s="18"/>
    </row>
    <row r="440" spans="16:26" x14ac:dyDescent="0.35">
      <c r="P440" s="18"/>
      <c r="U440" s="18"/>
      <c r="Z440" s="18"/>
    </row>
    <row r="441" spans="16:26" x14ac:dyDescent="0.35">
      <c r="P441" s="18"/>
      <c r="U441" s="18"/>
      <c r="Z441" s="18"/>
    </row>
    <row r="442" spans="16:26" x14ac:dyDescent="0.35">
      <c r="P442" s="18"/>
      <c r="U442" s="18"/>
      <c r="Z442" s="18"/>
    </row>
    <row r="443" spans="16:26" x14ac:dyDescent="0.35">
      <c r="P443" s="18"/>
      <c r="U443" s="18"/>
      <c r="Z443" s="18"/>
    </row>
    <row r="444" spans="16:26" x14ac:dyDescent="0.35">
      <c r="P444" s="18"/>
      <c r="U444" s="18"/>
      <c r="Z444" s="18"/>
    </row>
    <row r="445" spans="16:26" x14ac:dyDescent="0.35">
      <c r="P445" s="18"/>
      <c r="U445" s="18"/>
      <c r="Z445" s="18"/>
    </row>
    <row r="446" spans="16:26" x14ac:dyDescent="0.35">
      <c r="P446" s="18"/>
      <c r="U446" s="18"/>
      <c r="Z446" s="18"/>
    </row>
    <row r="447" spans="16:26" x14ac:dyDescent="0.35">
      <c r="P447" s="18"/>
      <c r="U447" s="18"/>
      <c r="Z447" s="18"/>
    </row>
    <row r="448" spans="16:26" x14ac:dyDescent="0.35">
      <c r="P448" s="18"/>
      <c r="U448" s="18"/>
      <c r="Z448" s="18"/>
    </row>
    <row r="449" spans="16:26" x14ac:dyDescent="0.35">
      <c r="P449" s="18"/>
      <c r="U449" s="18"/>
      <c r="Z449" s="18"/>
    </row>
    <row r="450" spans="16:26" x14ac:dyDescent="0.35">
      <c r="P450" s="18"/>
      <c r="U450" s="18"/>
      <c r="Z450" s="18"/>
    </row>
    <row r="451" spans="16:26" x14ac:dyDescent="0.35">
      <c r="P451" s="18"/>
      <c r="U451" s="18"/>
      <c r="Z451" s="18"/>
    </row>
    <row r="452" spans="16:26" x14ac:dyDescent="0.35">
      <c r="P452" s="18"/>
      <c r="U452" s="18"/>
      <c r="Z452" s="18"/>
    </row>
    <row r="453" spans="16:26" x14ac:dyDescent="0.35">
      <c r="P453" s="18"/>
      <c r="U453" s="18"/>
      <c r="Z453" s="18"/>
    </row>
    <row r="454" spans="16:26" x14ac:dyDescent="0.35">
      <c r="P454" s="18"/>
      <c r="U454" s="18"/>
      <c r="Z454" s="18"/>
    </row>
    <row r="455" spans="16:26" x14ac:dyDescent="0.35">
      <c r="P455" s="18"/>
      <c r="U455" s="18"/>
      <c r="Z455" s="18"/>
    </row>
    <row r="456" spans="16:26" x14ac:dyDescent="0.35">
      <c r="P456" s="18"/>
      <c r="U456" s="18"/>
      <c r="Z456" s="18"/>
    </row>
    <row r="457" spans="16:26" x14ac:dyDescent="0.35">
      <c r="P457" s="18"/>
      <c r="U457" s="18"/>
      <c r="Z457" s="18"/>
    </row>
    <row r="458" spans="16:26" x14ac:dyDescent="0.35">
      <c r="P458" s="18"/>
      <c r="U458" s="18"/>
      <c r="Z458" s="18"/>
    </row>
    <row r="459" spans="16:26" x14ac:dyDescent="0.35">
      <c r="P459" s="18"/>
      <c r="U459" s="18"/>
      <c r="Z459" s="18"/>
    </row>
    <row r="460" spans="16:26" x14ac:dyDescent="0.35">
      <c r="P460" s="18"/>
      <c r="U460" s="18"/>
      <c r="Z460" s="18"/>
    </row>
    <row r="461" spans="16:26" x14ac:dyDescent="0.35">
      <c r="P461" s="18"/>
      <c r="U461" s="18"/>
      <c r="Z461" s="18"/>
    </row>
    <row r="462" spans="16:26" x14ac:dyDescent="0.35">
      <c r="P462" s="18"/>
      <c r="U462" s="18"/>
      <c r="Z462" s="18"/>
    </row>
    <row r="463" spans="16:26" x14ac:dyDescent="0.35">
      <c r="P463" s="18"/>
      <c r="U463" s="18"/>
      <c r="Z463" s="18"/>
    </row>
    <row r="464" spans="16:26" x14ac:dyDescent="0.35">
      <c r="P464" s="18"/>
      <c r="U464" s="18"/>
      <c r="Z464" s="18"/>
    </row>
    <row r="465" spans="16:26" x14ac:dyDescent="0.35">
      <c r="P465" s="18"/>
      <c r="U465" s="18"/>
      <c r="Z465" s="18"/>
    </row>
    <row r="466" spans="16:26" x14ac:dyDescent="0.35">
      <c r="P466" s="18"/>
      <c r="U466" s="18"/>
      <c r="Z466" s="18"/>
    </row>
    <row r="467" spans="16:26" x14ac:dyDescent="0.35">
      <c r="P467" s="18"/>
      <c r="U467" s="18"/>
      <c r="Z467" s="18"/>
    </row>
    <row r="468" spans="16:26" x14ac:dyDescent="0.35">
      <c r="P468" s="18"/>
      <c r="U468" s="18"/>
      <c r="Z468" s="18"/>
    </row>
    <row r="469" spans="16:26" x14ac:dyDescent="0.35">
      <c r="P469" s="18"/>
      <c r="U469" s="18"/>
      <c r="Z469" s="18"/>
    </row>
    <row r="470" spans="16:26" x14ac:dyDescent="0.35">
      <c r="P470" s="18"/>
      <c r="U470" s="18"/>
      <c r="Z470" s="18"/>
    </row>
    <row r="471" spans="16:26" x14ac:dyDescent="0.35">
      <c r="P471" s="18"/>
      <c r="U471" s="18"/>
      <c r="Z471" s="18"/>
    </row>
    <row r="472" spans="16:26" x14ac:dyDescent="0.35">
      <c r="P472" s="18"/>
      <c r="U472" s="18"/>
      <c r="Z472" s="18"/>
    </row>
    <row r="473" spans="16:26" x14ac:dyDescent="0.35">
      <c r="P473" s="18"/>
      <c r="U473" s="18"/>
      <c r="Z473" s="18"/>
    </row>
    <row r="474" spans="16:26" x14ac:dyDescent="0.35">
      <c r="P474" s="18"/>
      <c r="U474" s="18"/>
      <c r="Z474" s="18"/>
    </row>
    <row r="475" spans="16:26" x14ac:dyDescent="0.35">
      <c r="P475" s="18"/>
      <c r="U475" s="18"/>
      <c r="Z475" s="18"/>
    </row>
    <row r="476" spans="16:26" x14ac:dyDescent="0.35">
      <c r="P476" s="18"/>
      <c r="U476" s="18"/>
      <c r="Z476" s="18"/>
    </row>
    <row r="477" spans="16:26" x14ac:dyDescent="0.35">
      <c r="P477" s="18"/>
      <c r="U477" s="18"/>
      <c r="Z477" s="18"/>
    </row>
    <row r="478" spans="16:26" x14ac:dyDescent="0.35">
      <c r="P478" s="18"/>
      <c r="U478" s="18"/>
      <c r="Z478" s="18"/>
    </row>
    <row r="479" spans="16:26" x14ac:dyDescent="0.35">
      <c r="P479" s="18"/>
      <c r="U479" s="18"/>
      <c r="Z479" s="18"/>
    </row>
    <row r="480" spans="16:26" x14ac:dyDescent="0.35">
      <c r="P480" s="18"/>
      <c r="U480" s="18"/>
      <c r="Z480" s="18"/>
    </row>
    <row r="481" spans="16:26" x14ac:dyDescent="0.35">
      <c r="P481" s="18"/>
      <c r="U481" s="18"/>
      <c r="Z481" s="18"/>
    </row>
    <row r="482" spans="16:26" x14ac:dyDescent="0.35">
      <c r="P482" s="18"/>
      <c r="U482" s="18"/>
      <c r="Z482" s="18"/>
    </row>
    <row r="483" spans="16:26" x14ac:dyDescent="0.35">
      <c r="P483" s="18"/>
      <c r="U483" s="18"/>
      <c r="Z483" s="18"/>
    </row>
    <row r="484" spans="16:26" x14ac:dyDescent="0.35">
      <c r="P484" s="18"/>
      <c r="U484" s="18"/>
      <c r="Z484" s="18"/>
    </row>
    <row r="485" spans="16:26" x14ac:dyDescent="0.35">
      <c r="P485" s="18"/>
      <c r="U485" s="18"/>
      <c r="Z485" s="18"/>
    </row>
    <row r="486" spans="16:26" x14ac:dyDescent="0.35">
      <c r="P486" s="18"/>
      <c r="U486" s="18"/>
      <c r="Z486" s="18"/>
    </row>
    <row r="487" spans="16:26" x14ac:dyDescent="0.35">
      <c r="P487" s="18"/>
      <c r="U487" s="18"/>
      <c r="Z487" s="18"/>
    </row>
    <row r="488" spans="16:26" x14ac:dyDescent="0.35">
      <c r="P488" s="18"/>
      <c r="U488" s="18"/>
      <c r="Z488" s="18"/>
    </row>
    <row r="489" spans="16:26" x14ac:dyDescent="0.35">
      <c r="P489" s="18"/>
      <c r="U489" s="18"/>
      <c r="Z489" s="18"/>
    </row>
    <row r="490" spans="16:26" x14ac:dyDescent="0.35">
      <c r="P490" s="18"/>
      <c r="U490" s="18"/>
      <c r="Z490" s="18"/>
    </row>
    <row r="491" spans="16:26" x14ac:dyDescent="0.35">
      <c r="P491" s="18"/>
      <c r="U491" s="18"/>
      <c r="Z491" s="18"/>
    </row>
    <row r="492" spans="16:26" x14ac:dyDescent="0.35">
      <c r="P492" s="18"/>
      <c r="U492" s="18"/>
      <c r="Z492" s="18"/>
    </row>
    <row r="493" spans="16:26" x14ac:dyDescent="0.35">
      <c r="P493" s="18"/>
      <c r="U493" s="18"/>
      <c r="Z493" s="18"/>
    </row>
    <row r="494" spans="16:26" x14ac:dyDescent="0.35">
      <c r="P494" s="18"/>
      <c r="U494" s="18"/>
      <c r="Z494" s="18"/>
    </row>
    <row r="495" spans="16:26" x14ac:dyDescent="0.35">
      <c r="P495" s="18"/>
      <c r="U495" s="18"/>
      <c r="Z495" s="18"/>
    </row>
    <row r="496" spans="16:26" x14ac:dyDescent="0.35">
      <c r="P496" s="18"/>
      <c r="U496" s="18"/>
      <c r="Z496" s="18"/>
    </row>
    <row r="497" spans="16:26" x14ac:dyDescent="0.35">
      <c r="P497" s="18"/>
      <c r="U497" s="18"/>
      <c r="Z497" s="18"/>
    </row>
    <row r="498" spans="16:26" x14ac:dyDescent="0.35">
      <c r="P498" s="18"/>
      <c r="U498" s="18"/>
      <c r="Z498" s="18"/>
    </row>
    <row r="499" spans="16:26" x14ac:dyDescent="0.35">
      <c r="P499" s="18"/>
      <c r="U499" s="18"/>
      <c r="Z499" s="18"/>
    </row>
    <row r="500" spans="16:26" x14ac:dyDescent="0.35">
      <c r="P500" s="18"/>
      <c r="U500" s="18"/>
      <c r="Z500" s="18"/>
    </row>
    <row r="501" spans="16:26" x14ac:dyDescent="0.35">
      <c r="P501" s="18"/>
      <c r="U501" s="18"/>
      <c r="Z501" s="18"/>
    </row>
    <row r="502" spans="16:26" x14ac:dyDescent="0.35">
      <c r="P502" s="18"/>
      <c r="U502" s="18"/>
      <c r="Z502" s="18"/>
    </row>
    <row r="503" spans="16:26" x14ac:dyDescent="0.35">
      <c r="P503" s="18"/>
      <c r="U503" s="18"/>
      <c r="Z503" s="18"/>
    </row>
    <row r="504" spans="16:26" x14ac:dyDescent="0.35">
      <c r="P504" s="18"/>
      <c r="U504" s="18"/>
      <c r="Z504" s="18"/>
    </row>
    <row r="505" spans="16:26" x14ac:dyDescent="0.35">
      <c r="P505" s="18"/>
      <c r="U505" s="18"/>
      <c r="Z505" s="18"/>
    </row>
    <row r="506" spans="16:26" x14ac:dyDescent="0.35">
      <c r="P506" s="18"/>
      <c r="U506" s="18"/>
      <c r="Z506" s="18"/>
    </row>
    <row r="507" spans="16:26" x14ac:dyDescent="0.35">
      <c r="P507" s="18"/>
      <c r="U507" s="18"/>
      <c r="Z507" s="18"/>
    </row>
    <row r="508" spans="16:26" x14ac:dyDescent="0.35">
      <c r="P508" s="18"/>
      <c r="U508" s="18"/>
      <c r="Z508" s="18"/>
    </row>
    <row r="509" spans="16:26" x14ac:dyDescent="0.35">
      <c r="P509" s="18"/>
      <c r="U509" s="18"/>
      <c r="Z509" s="18"/>
    </row>
    <row r="510" spans="16:26" x14ac:dyDescent="0.35">
      <c r="P510" s="18"/>
      <c r="U510" s="18"/>
      <c r="Z510" s="18"/>
    </row>
    <row r="511" spans="16:26" x14ac:dyDescent="0.35">
      <c r="P511" s="18"/>
      <c r="U511" s="18"/>
      <c r="Z511" s="18"/>
    </row>
    <row r="512" spans="16:26" x14ac:dyDescent="0.35">
      <c r="P512" s="18"/>
      <c r="U512" s="18"/>
      <c r="Z512" s="18"/>
    </row>
    <row r="513" spans="16:26" x14ac:dyDescent="0.35">
      <c r="P513" s="18"/>
      <c r="U513" s="18"/>
      <c r="Z513" s="18"/>
    </row>
    <row r="514" spans="16:26" x14ac:dyDescent="0.35">
      <c r="P514" s="18"/>
      <c r="U514" s="18"/>
      <c r="Z514" s="18"/>
    </row>
    <row r="515" spans="16:26" x14ac:dyDescent="0.35">
      <c r="P515" s="18"/>
      <c r="U515" s="18"/>
      <c r="Z515" s="18"/>
    </row>
    <row r="516" spans="16:26" x14ac:dyDescent="0.35">
      <c r="P516" s="18"/>
      <c r="U516" s="18"/>
      <c r="Z516" s="18"/>
    </row>
    <row r="517" spans="16:26" x14ac:dyDescent="0.35">
      <c r="P517" s="18"/>
      <c r="U517" s="18"/>
      <c r="Z517" s="18"/>
    </row>
    <row r="518" spans="16:26" x14ac:dyDescent="0.35">
      <c r="P518" s="18"/>
      <c r="U518" s="18"/>
      <c r="Z518" s="18"/>
    </row>
    <row r="519" spans="16:26" x14ac:dyDescent="0.35">
      <c r="P519" s="18"/>
      <c r="U519" s="18"/>
      <c r="Z519" s="18"/>
    </row>
    <row r="520" spans="16:26" x14ac:dyDescent="0.35">
      <c r="P520" s="18"/>
      <c r="U520" s="18"/>
      <c r="Z520" s="18"/>
    </row>
    <row r="521" spans="16:26" x14ac:dyDescent="0.35">
      <c r="P521" s="18"/>
      <c r="U521" s="18"/>
      <c r="Z521" s="18"/>
    </row>
    <row r="522" spans="16:26" x14ac:dyDescent="0.35">
      <c r="P522" s="18"/>
      <c r="U522" s="18"/>
      <c r="Z522" s="18"/>
    </row>
    <row r="523" spans="16:26" x14ac:dyDescent="0.35">
      <c r="P523" s="18"/>
      <c r="U523" s="18"/>
      <c r="Z523" s="18"/>
    </row>
    <row r="524" spans="16:26" x14ac:dyDescent="0.35">
      <c r="P524" s="18"/>
      <c r="U524" s="18"/>
      <c r="Z524" s="18"/>
    </row>
    <row r="525" spans="16:26" x14ac:dyDescent="0.35">
      <c r="P525" s="18"/>
      <c r="U525" s="18"/>
      <c r="Z525" s="18"/>
    </row>
    <row r="526" spans="16:26" x14ac:dyDescent="0.35">
      <c r="P526" s="18"/>
      <c r="U526" s="18"/>
      <c r="Z526" s="18"/>
    </row>
    <row r="527" spans="16:26" x14ac:dyDescent="0.35">
      <c r="P527" s="18"/>
      <c r="U527" s="18"/>
      <c r="Z527" s="18"/>
    </row>
    <row r="528" spans="16:26" x14ac:dyDescent="0.35">
      <c r="P528" s="18"/>
      <c r="U528" s="18"/>
      <c r="Z528" s="18"/>
    </row>
    <row r="529" spans="16:26" x14ac:dyDescent="0.35">
      <c r="P529" s="18"/>
      <c r="U529" s="18"/>
      <c r="Z529" s="18"/>
    </row>
    <row r="530" spans="16:26" x14ac:dyDescent="0.35">
      <c r="P530" s="18"/>
      <c r="U530" s="18"/>
      <c r="Z530" s="18"/>
    </row>
    <row r="531" spans="16:26" x14ac:dyDescent="0.35">
      <c r="P531" s="18"/>
      <c r="U531" s="18"/>
      <c r="Z531" s="18"/>
    </row>
    <row r="532" spans="16:26" x14ac:dyDescent="0.35">
      <c r="P532" s="18"/>
      <c r="U532" s="18"/>
      <c r="Z532" s="18"/>
    </row>
    <row r="533" spans="16:26" x14ac:dyDescent="0.35">
      <c r="P533" s="18"/>
      <c r="U533" s="18"/>
      <c r="Z533" s="18"/>
    </row>
    <row r="534" spans="16:26" x14ac:dyDescent="0.35">
      <c r="P534" s="18"/>
      <c r="U534" s="18"/>
      <c r="Z534" s="18"/>
    </row>
    <row r="535" spans="16:26" x14ac:dyDescent="0.35">
      <c r="P535" s="18"/>
      <c r="U535" s="18"/>
      <c r="Z535" s="18"/>
    </row>
    <row r="536" spans="16:26" x14ac:dyDescent="0.35">
      <c r="P536" s="18"/>
      <c r="U536" s="18"/>
      <c r="Z536" s="18"/>
    </row>
    <row r="537" spans="16:26" x14ac:dyDescent="0.35">
      <c r="P537" s="18"/>
      <c r="U537" s="18"/>
      <c r="Z537" s="18"/>
    </row>
    <row r="538" spans="16:26" x14ac:dyDescent="0.35">
      <c r="P538" s="18"/>
      <c r="U538" s="18"/>
      <c r="Z538" s="18"/>
    </row>
    <row r="539" spans="16:26" x14ac:dyDescent="0.35">
      <c r="P539" s="18"/>
      <c r="U539" s="18"/>
      <c r="Z539" s="18"/>
    </row>
    <row r="540" spans="16:26" x14ac:dyDescent="0.35">
      <c r="P540" s="18"/>
      <c r="U540" s="18"/>
      <c r="Z540" s="18"/>
    </row>
    <row r="541" spans="16:26" x14ac:dyDescent="0.35">
      <c r="P541" s="18"/>
      <c r="U541" s="18"/>
      <c r="Z541" s="18"/>
    </row>
    <row r="542" spans="16:26" x14ac:dyDescent="0.35">
      <c r="P542" s="18"/>
      <c r="U542" s="18"/>
      <c r="Z542" s="18"/>
    </row>
    <row r="543" spans="16:26" x14ac:dyDescent="0.35">
      <c r="P543" s="18"/>
      <c r="U543" s="18"/>
      <c r="Z543" s="18"/>
    </row>
    <row r="544" spans="16:26" x14ac:dyDescent="0.35">
      <c r="P544" s="18"/>
      <c r="U544" s="18"/>
      <c r="Z544" s="18"/>
    </row>
    <row r="545" spans="16:26" x14ac:dyDescent="0.35">
      <c r="P545" s="18"/>
      <c r="U545" s="18"/>
      <c r="Z545" s="18"/>
    </row>
    <row r="546" spans="16:26" x14ac:dyDescent="0.35">
      <c r="P546" s="18"/>
      <c r="U546" s="18"/>
      <c r="Z546" s="18"/>
    </row>
    <row r="547" spans="16:26" x14ac:dyDescent="0.35">
      <c r="P547" s="18"/>
      <c r="U547" s="18"/>
      <c r="Z547" s="18"/>
    </row>
    <row r="548" spans="16:26" x14ac:dyDescent="0.35">
      <c r="P548" s="18"/>
      <c r="U548" s="18"/>
      <c r="Z548" s="18"/>
    </row>
    <row r="549" spans="16:26" x14ac:dyDescent="0.35">
      <c r="P549" s="18"/>
      <c r="U549" s="18"/>
      <c r="Z549" s="18"/>
    </row>
    <row r="550" spans="16:26" x14ac:dyDescent="0.35">
      <c r="P550" s="18"/>
      <c r="U550" s="18"/>
      <c r="Z550" s="18"/>
    </row>
    <row r="551" spans="16:26" x14ac:dyDescent="0.35">
      <c r="P551" s="18"/>
      <c r="U551" s="18"/>
      <c r="Z551" s="18"/>
    </row>
    <row r="552" spans="16:26" x14ac:dyDescent="0.35">
      <c r="P552" s="18"/>
      <c r="U552" s="18"/>
      <c r="Z552" s="18"/>
    </row>
    <row r="553" spans="16:26" x14ac:dyDescent="0.35">
      <c r="P553" s="18"/>
      <c r="U553" s="18"/>
      <c r="Z553" s="18"/>
    </row>
    <row r="554" spans="16:26" x14ac:dyDescent="0.35">
      <c r="P554" s="18"/>
      <c r="U554" s="18"/>
      <c r="Z554" s="18"/>
    </row>
    <row r="555" spans="16:26" x14ac:dyDescent="0.35">
      <c r="P555" s="18"/>
      <c r="U555" s="18"/>
      <c r="Z555" s="18"/>
    </row>
    <row r="556" spans="16:26" x14ac:dyDescent="0.35">
      <c r="P556" s="18"/>
      <c r="U556" s="18"/>
      <c r="Z556" s="18"/>
    </row>
    <row r="557" spans="16:26" x14ac:dyDescent="0.35">
      <c r="P557" s="18"/>
      <c r="U557" s="18"/>
      <c r="Z557" s="18"/>
    </row>
    <row r="558" spans="16:26" x14ac:dyDescent="0.35">
      <c r="P558" s="18"/>
      <c r="U558" s="18"/>
      <c r="Z558" s="18"/>
    </row>
    <row r="559" spans="16:26" x14ac:dyDescent="0.35">
      <c r="P559" s="18"/>
      <c r="U559" s="18"/>
      <c r="Z559" s="18"/>
    </row>
    <row r="560" spans="16:26" x14ac:dyDescent="0.35">
      <c r="P560" s="18"/>
      <c r="U560" s="18"/>
      <c r="Z560" s="18"/>
    </row>
    <row r="561" spans="16:26" x14ac:dyDescent="0.35">
      <c r="P561" s="18"/>
      <c r="U561" s="18"/>
      <c r="Z561" s="18"/>
    </row>
    <row r="562" spans="16:26" x14ac:dyDescent="0.35">
      <c r="P562" s="18"/>
      <c r="U562" s="18"/>
      <c r="Z562" s="18"/>
    </row>
    <row r="563" spans="16:26" x14ac:dyDescent="0.35">
      <c r="P563" s="18"/>
      <c r="U563" s="18"/>
      <c r="Z563" s="18"/>
    </row>
    <row r="564" spans="16:26" x14ac:dyDescent="0.35">
      <c r="P564" s="18"/>
      <c r="U564" s="18"/>
      <c r="Z564" s="18"/>
    </row>
    <row r="565" spans="16:26" x14ac:dyDescent="0.35">
      <c r="P565" s="18"/>
      <c r="U565" s="18"/>
      <c r="Z565" s="18"/>
    </row>
    <row r="566" spans="16:26" x14ac:dyDescent="0.35">
      <c r="P566" s="18"/>
      <c r="U566" s="18"/>
      <c r="Z566" s="18"/>
    </row>
    <row r="567" spans="16:26" x14ac:dyDescent="0.35">
      <c r="P567" s="18"/>
      <c r="U567" s="18"/>
      <c r="Z567" s="18"/>
    </row>
    <row r="568" spans="16:26" x14ac:dyDescent="0.35">
      <c r="P568" s="18"/>
      <c r="U568" s="18"/>
      <c r="Z568" s="18"/>
    </row>
    <row r="569" spans="16:26" x14ac:dyDescent="0.35">
      <c r="P569" s="18"/>
      <c r="U569" s="18"/>
      <c r="Z569" s="18"/>
    </row>
    <row r="570" spans="16:26" x14ac:dyDescent="0.35">
      <c r="P570" s="18"/>
      <c r="U570" s="18"/>
      <c r="Z570" s="18"/>
    </row>
    <row r="571" spans="16:26" x14ac:dyDescent="0.35">
      <c r="P571" s="18"/>
      <c r="U571" s="18"/>
      <c r="Z571" s="18"/>
    </row>
    <row r="572" spans="16:26" x14ac:dyDescent="0.35">
      <c r="P572" s="18"/>
      <c r="U572" s="18"/>
      <c r="Z572" s="18"/>
    </row>
    <row r="573" spans="16:26" x14ac:dyDescent="0.35">
      <c r="P573" s="18"/>
      <c r="U573" s="18"/>
      <c r="Z573" s="18"/>
    </row>
    <row r="574" spans="16:26" x14ac:dyDescent="0.35">
      <c r="P574" s="18"/>
      <c r="U574" s="18"/>
      <c r="Z574" s="18"/>
    </row>
    <row r="575" spans="16:26" x14ac:dyDescent="0.35">
      <c r="P575" s="18"/>
      <c r="U575" s="18"/>
      <c r="Z575" s="18"/>
    </row>
    <row r="576" spans="16:26" x14ac:dyDescent="0.35">
      <c r="P576" s="18"/>
      <c r="U576" s="18"/>
      <c r="Z576" s="18"/>
    </row>
    <row r="577" spans="16:26" x14ac:dyDescent="0.35">
      <c r="P577" s="18"/>
      <c r="U577" s="18"/>
      <c r="Z577" s="18"/>
    </row>
    <row r="578" spans="16:26" x14ac:dyDescent="0.35">
      <c r="P578" s="18"/>
      <c r="U578" s="18"/>
      <c r="Z578" s="18"/>
    </row>
    <row r="579" spans="16:26" x14ac:dyDescent="0.35">
      <c r="P579" s="18"/>
      <c r="U579" s="18"/>
      <c r="Z579" s="18"/>
    </row>
    <row r="580" spans="16:26" x14ac:dyDescent="0.35">
      <c r="P580" s="18"/>
      <c r="U580" s="18"/>
      <c r="Z580" s="18"/>
    </row>
    <row r="581" spans="16:26" x14ac:dyDescent="0.35">
      <c r="P581" s="18"/>
      <c r="U581" s="18"/>
      <c r="Z581" s="18"/>
    </row>
    <row r="582" spans="16:26" x14ac:dyDescent="0.35">
      <c r="P582" s="18"/>
      <c r="U582" s="18"/>
      <c r="Z582" s="18"/>
    </row>
    <row r="583" spans="16:26" x14ac:dyDescent="0.35">
      <c r="P583" s="18"/>
      <c r="U583" s="18"/>
      <c r="Z583" s="18"/>
    </row>
    <row r="584" spans="16:26" x14ac:dyDescent="0.35">
      <c r="P584" s="18"/>
      <c r="U584" s="18"/>
      <c r="Z584" s="18"/>
    </row>
    <row r="585" spans="16:26" x14ac:dyDescent="0.35">
      <c r="P585" s="18"/>
      <c r="U585" s="18"/>
      <c r="Z585" s="18"/>
    </row>
    <row r="586" spans="16:26" x14ac:dyDescent="0.35">
      <c r="P586" s="18"/>
      <c r="U586" s="18"/>
      <c r="Z586" s="18"/>
    </row>
    <row r="587" spans="16:26" x14ac:dyDescent="0.35">
      <c r="P587" s="18"/>
      <c r="U587" s="18"/>
      <c r="Z587" s="18"/>
    </row>
    <row r="588" spans="16:26" x14ac:dyDescent="0.35">
      <c r="P588" s="18"/>
      <c r="U588" s="18"/>
      <c r="Z588" s="18"/>
    </row>
    <row r="589" spans="16:26" x14ac:dyDescent="0.35">
      <c r="P589" s="18"/>
      <c r="U589" s="18"/>
      <c r="Z589" s="18"/>
    </row>
    <row r="590" spans="16:26" x14ac:dyDescent="0.35">
      <c r="P590" s="18"/>
      <c r="U590" s="18"/>
      <c r="Z590" s="18"/>
    </row>
    <row r="591" spans="16:26" x14ac:dyDescent="0.35">
      <c r="P591" s="18"/>
      <c r="U591" s="18"/>
      <c r="Z591" s="18"/>
    </row>
    <row r="592" spans="16:26" x14ac:dyDescent="0.35">
      <c r="P592" s="18"/>
      <c r="U592" s="18"/>
      <c r="Z592" s="18"/>
    </row>
    <row r="593" spans="16:26" x14ac:dyDescent="0.35">
      <c r="P593" s="18"/>
      <c r="U593" s="18"/>
      <c r="Z593" s="18"/>
    </row>
    <row r="594" spans="16:26" x14ac:dyDescent="0.35">
      <c r="P594" s="18"/>
      <c r="U594" s="18"/>
      <c r="Z594" s="18"/>
    </row>
    <row r="595" spans="16:26" x14ac:dyDescent="0.35">
      <c r="P595" s="18"/>
      <c r="U595" s="18"/>
      <c r="Z595" s="18"/>
    </row>
    <row r="596" spans="16:26" x14ac:dyDescent="0.35">
      <c r="P596" s="18"/>
      <c r="U596" s="18"/>
      <c r="Z596" s="18"/>
    </row>
    <row r="597" spans="16:26" x14ac:dyDescent="0.35">
      <c r="P597" s="18"/>
      <c r="U597" s="18"/>
      <c r="Z597" s="18"/>
    </row>
    <row r="598" spans="16:26" x14ac:dyDescent="0.35">
      <c r="P598" s="18"/>
      <c r="U598" s="18"/>
      <c r="Z598" s="18"/>
    </row>
    <row r="599" spans="16:26" x14ac:dyDescent="0.35">
      <c r="P599" s="18"/>
      <c r="U599" s="18"/>
      <c r="Z599" s="18"/>
    </row>
    <row r="600" spans="16:26" x14ac:dyDescent="0.35">
      <c r="P600" s="18"/>
      <c r="U600" s="18"/>
      <c r="Z600" s="18"/>
    </row>
    <row r="601" spans="16:26" x14ac:dyDescent="0.35">
      <c r="P601" s="18"/>
      <c r="U601" s="18"/>
      <c r="Z601" s="18"/>
    </row>
    <row r="602" spans="16:26" x14ac:dyDescent="0.35">
      <c r="P602" s="18"/>
      <c r="U602" s="18"/>
      <c r="Z602" s="18"/>
    </row>
    <row r="603" spans="16:26" x14ac:dyDescent="0.35">
      <c r="P603" s="18"/>
      <c r="U603" s="18"/>
      <c r="Z603" s="18"/>
    </row>
    <row r="604" spans="16:26" x14ac:dyDescent="0.35">
      <c r="P604" s="18"/>
      <c r="U604" s="18"/>
      <c r="Z604" s="18"/>
    </row>
    <row r="605" spans="16:26" x14ac:dyDescent="0.35">
      <c r="P605" s="18"/>
      <c r="U605" s="18"/>
      <c r="Z605" s="18"/>
    </row>
    <row r="606" spans="16:26" x14ac:dyDescent="0.35">
      <c r="P606" s="18"/>
      <c r="U606" s="18"/>
      <c r="Z606" s="18"/>
    </row>
    <row r="607" spans="16:26" x14ac:dyDescent="0.35">
      <c r="P607" s="18"/>
      <c r="U607" s="18"/>
      <c r="Z607" s="18"/>
    </row>
    <row r="608" spans="16:26" x14ac:dyDescent="0.35">
      <c r="P608" s="18"/>
      <c r="U608" s="18"/>
      <c r="Z608" s="18"/>
    </row>
    <row r="609" spans="16:26" x14ac:dyDescent="0.35">
      <c r="P609" s="18"/>
      <c r="U609" s="18"/>
      <c r="Z609" s="18"/>
    </row>
    <row r="610" spans="16:26" x14ac:dyDescent="0.35">
      <c r="P610" s="18"/>
      <c r="U610" s="18"/>
      <c r="Z610" s="18"/>
    </row>
    <row r="611" spans="16:26" x14ac:dyDescent="0.35">
      <c r="P611" s="18"/>
      <c r="U611" s="18"/>
      <c r="Z611" s="18"/>
    </row>
    <row r="612" spans="16:26" x14ac:dyDescent="0.35">
      <c r="P612" s="18"/>
      <c r="U612" s="18"/>
      <c r="Z612" s="18"/>
    </row>
    <row r="613" spans="16:26" x14ac:dyDescent="0.35">
      <c r="P613" s="18"/>
      <c r="U613" s="18"/>
      <c r="Z613" s="18"/>
    </row>
    <row r="614" spans="16:26" x14ac:dyDescent="0.35">
      <c r="P614" s="18"/>
      <c r="U614" s="18"/>
      <c r="Z614" s="18"/>
    </row>
    <row r="615" spans="16:26" x14ac:dyDescent="0.35">
      <c r="P615" s="18"/>
      <c r="U615" s="18"/>
      <c r="Z615" s="18"/>
    </row>
    <row r="616" spans="16:26" x14ac:dyDescent="0.35">
      <c r="P616" s="18"/>
      <c r="U616" s="18"/>
      <c r="Z616" s="18"/>
    </row>
    <row r="617" spans="16:26" x14ac:dyDescent="0.35">
      <c r="P617" s="18"/>
      <c r="U617" s="18"/>
      <c r="Z617" s="18"/>
    </row>
    <row r="618" spans="16:26" x14ac:dyDescent="0.35">
      <c r="P618" s="18"/>
      <c r="U618" s="18"/>
      <c r="Z618" s="18"/>
    </row>
    <row r="619" spans="16:26" x14ac:dyDescent="0.35">
      <c r="P619" s="18"/>
      <c r="U619" s="18"/>
      <c r="Z619" s="18"/>
    </row>
    <row r="620" spans="16:26" x14ac:dyDescent="0.35">
      <c r="P620" s="18"/>
      <c r="U620" s="18"/>
      <c r="Z620" s="18"/>
    </row>
    <row r="621" spans="16:26" x14ac:dyDescent="0.35">
      <c r="P621" s="18"/>
      <c r="U621" s="18"/>
      <c r="Z621" s="18"/>
    </row>
    <row r="622" spans="16:26" x14ac:dyDescent="0.35">
      <c r="P622" s="18"/>
      <c r="U622" s="18"/>
      <c r="Z622" s="18"/>
    </row>
    <row r="623" spans="16:26" x14ac:dyDescent="0.35">
      <c r="P623" s="18"/>
      <c r="U623" s="18"/>
      <c r="Z623" s="18"/>
    </row>
    <row r="624" spans="16:26" x14ac:dyDescent="0.35">
      <c r="P624" s="18"/>
      <c r="U624" s="18"/>
      <c r="Z624" s="18"/>
    </row>
    <row r="625" spans="16:26" x14ac:dyDescent="0.35">
      <c r="P625" s="18"/>
      <c r="U625" s="18"/>
      <c r="Z625" s="18"/>
    </row>
    <row r="626" spans="16:26" x14ac:dyDescent="0.35">
      <c r="P626" s="18"/>
      <c r="U626" s="18"/>
      <c r="Z626" s="18"/>
    </row>
    <row r="627" spans="16:26" x14ac:dyDescent="0.35">
      <c r="P627" s="18"/>
      <c r="U627" s="18"/>
      <c r="Z627" s="18"/>
    </row>
    <row r="628" spans="16:26" x14ac:dyDescent="0.35">
      <c r="P628" s="18"/>
      <c r="U628" s="18"/>
      <c r="Z628" s="18"/>
    </row>
    <row r="629" spans="16:26" x14ac:dyDescent="0.35">
      <c r="P629" s="18"/>
      <c r="U629" s="18"/>
      <c r="Z629" s="18"/>
    </row>
    <row r="630" spans="16:26" x14ac:dyDescent="0.35">
      <c r="P630" s="18"/>
      <c r="U630" s="18"/>
      <c r="Z630" s="18"/>
    </row>
    <row r="631" spans="16:26" x14ac:dyDescent="0.35">
      <c r="P631" s="18"/>
      <c r="U631" s="18"/>
      <c r="Z631" s="18"/>
    </row>
    <row r="632" spans="16:26" x14ac:dyDescent="0.35">
      <c r="P632" s="18"/>
      <c r="U632" s="18"/>
      <c r="Z632" s="18"/>
    </row>
    <row r="633" spans="16:26" x14ac:dyDescent="0.35">
      <c r="P633" s="18"/>
      <c r="U633" s="18"/>
      <c r="Z633" s="18"/>
    </row>
    <row r="634" spans="16:26" x14ac:dyDescent="0.35">
      <c r="P634" s="18"/>
      <c r="U634" s="18"/>
      <c r="Z634" s="18"/>
    </row>
    <row r="635" spans="16:26" x14ac:dyDescent="0.35">
      <c r="P635" s="18"/>
      <c r="U635" s="18"/>
      <c r="Z635" s="18"/>
    </row>
    <row r="636" spans="16:26" x14ac:dyDescent="0.35">
      <c r="P636" s="18"/>
      <c r="U636" s="18"/>
      <c r="Z636" s="18"/>
    </row>
    <row r="637" spans="16:26" x14ac:dyDescent="0.35">
      <c r="P637" s="18"/>
      <c r="U637" s="18"/>
      <c r="Z637" s="18"/>
    </row>
    <row r="638" spans="16:26" x14ac:dyDescent="0.35">
      <c r="P638" s="18"/>
      <c r="U638" s="18"/>
      <c r="Z638" s="18"/>
    </row>
    <row r="639" spans="16:26" x14ac:dyDescent="0.35">
      <c r="P639" s="18"/>
      <c r="U639" s="18"/>
      <c r="Z639" s="18"/>
    </row>
    <row r="640" spans="16:26" x14ac:dyDescent="0.35">
      <c r="P640" s="18"/>
      <c r="U640" s="18"/>
      <c r="Z640" s="18"/>
    </row>
    <row r="641" spans="16:26" x14ac:dyDescent="0.35">
      <c r="P641" s="18"/>
      <c r="U641" s="18"/>
      <c r="Z641" s="18"/>
    </row>
    <row r="642" spans="16:26" x14ac:dyDescent="0.35">
      <c r="P642" s="18"/>
      <c r="U642" s="18"/>
      <c r="Z642" s="18"/>
    </row>
    <row r="643" spans="16:26" x14ac:dyDescent="0.35">
      <c r="P643" s="18"/>
      <c r="U643" s="18"/>
      <c r="Z643" s="18"/>
    </row>
    <row r="644" spans="16:26" x14ac:dyDescent="0.35">
      <c r="P644" s="18"/>
      <c r="U644" s="18"/>
      <c r="Z644" s="18"/>
    </row>
    <row r="645" spans="16:26" x14ac:dyDescent="0.35">
      <c r="P645" s="18"/>
      <c r="U645" s="18"/>
      <c r="Z645" s="18"/>
    </row>
    <row r="646" spans="16:26" x14ac:dyDescent="0.35">
      <c r="P646" s="18"/>
      <c r="U646" s="18"/>
      <c r="Z646" s="18"/>
    </row>
    <row r="647" spans="16:26" x14ac:dyDescent="0.35">
      <c r="P647" s="18"/>
      <c r="U647" s="18"/>
      <c r="Z647" s="18"/>
    </row>
    <row r="648" spans="16:26" x14ac:dyDescent="0.35">
      <c r="P648" s="18"/>
      <c r="U648" s="18"/>
      <c r="Z648" s="18"/>
    </row>
    <row r="649" spans="16:26" x14ac:dyDescent="0.35">
      <c r="P649" s="18"/>
      <c r="U649" s="18"/>
      <c r="Z649" s="18"/>
    </row>
    <row r="650" spans="16:26" x14ac:dyDescent="0.35">
      <c r="P650" s="18"/>
      <c r="U650" s="18"/>
      <c r="Z650" s="18"/>
    </row>
    <row r="651" spans="16:26" x14ac:dyDescent="0.35">
      <c r="P651" s="18"/>
      <c r="U651" s="18"/>
      <c r="Z651" s="18"/>
    </row>
    <row r="652" spans="16:26" x14ac:dyDescent="0.35">
      <c r="P652" s="18"/>
      <c r="U652" s="18"/>
      <c r="Z652" s="18"/>
    </row>
    <row r="653" spans="16:26" x14ac:dyDescent="0.35">
      <c r="P653" s="18"/>
      <c r="U653" s="18"/>
      <c r="Z653" s="18"/>
    </row>
    <row r="654" spans="16:26" x14ac:dyDescent="0.35">
      <c r="P654" s="18"/>
      <c r="U654" s="18"/>
      <c r="Z654" s="18"/>
    </row>
    <row r="655" spans="16:26" x14ac:dyDescent="0.35">
      <c r="P655" s="18"/>
      <c r="U655" s="18"/>
      <c r="Z655" s="18"/>
    </row>
    <row r="656" spans="16:26" x14ac:dyDescent="0.35">
      <c r="P656" s="18"/>
      <c r="U656" s="18"/>
      <c r="Z656" s="18"/>
    </row>
    <row r="657" spans="16:26" x14ac:dyDescent="0.35">
      <c r="P657" s="18"/>
      <c r="U657" s="18"/>
      <c r="Z657" s="18"/>
    </row>
    <row r="658" spans="16:26" x14ac:dyDescent="0.35">
      <c r="P658" s="18"/>
      <c r="U658" s="18"/>
      <c r="Z658" s="18"/>
    </row>
    <row r="659" spans="16:26" x14ac:dyDescent="0.35">
      <c r="P659" s="18"/>
      <c r="U659" s="18"/>
      <c r="Z659" s="18"/>
    </row>
    <row r="660" spans="16:26" x14ac:dyDescent="0.35">
      <c r="P660" s="18"/>
      <c r="U660" s="18"/>
      <c r="Z660" s="18"/>
    </row>
    <row r="661" spans="16:26" x14ac:dyDescent="0.35">
      <c r="P661" s="18"/>
      <c r="U661" s="18"/>
      <c r="Z661" s="18"/>
    </row>
    <row r="662" spans="16:26" x14ac:dyDescent="0.35">
      <c r="P662" s="18"/>
      <c r="U662" s="18"/>
      <c r="Z662" s="18"/>
    </row>
    <row r="663" spans="16:26" x14ac:dyDescent="0.35">
      <c r="P663" s="18"/>
      <c r="U663" s="18"/>
      <c r="Z663" s="18"/>
    </row>
    <row r="664" spans="16:26" x14ac:dyDescent="0.35">
      <c r="P664" s="18"/>
      <c r="U664" s="18"/>
      <c r="Z664" s="18"/>
    </row>
    <row r="665" spans="16:26" x14ac:dyDescent="0.35">
      <c r="P665" s="18"/>
      <c r="U665" s="18"/>
      <c r="Z665" s="18"/>
    </row>
    <row r="666" spans="16:26" x14ac:dyDescent="0.35">
      <c r="P666" s="18"/>
      <c r="U666" s="18"/>
      <c r="Z666" s="18"/>
    </row>
    <row r="667" spans="16:26" x14ac:dyDescent="0.35">
      <c r="P667" s="18"/>
      <c r="U667" s="18"/>
      <c r="Z667" s="18"/>
    </row>
    <row r="668" spans="16:26" x14ac:dyDescent="0.35">
      <c r="P668" s="18"/>
      <c r="U668" s="18"/>
      <c r="Z668" s="18"/>
    </row>
    <row r="669" spans="16:26" x14ac:dyDescent="0.35">
      <c r="P669" s="18"/>
      <c r="U669" s="18"/>
      <c r="Z669" s="18"/>
    </row>
    <row r="670" spans="16:26" x14ac:dyDescent="0.35">
      <c r="P670" s="18"/>
      <c r="U670" s="18"/>
      <c r="Z670" s="18"/>
    </row>
    <row r="671" spans="16:26" x14ac:dyDescent="0.35">
      <c r="P671" s="18"/>
      <c r="U671" s="18"/>
      <c r="Z671" s="18"/>
    </row>
    <row r="672" spans="16:26" x14ac:dyDescent="0.35">
      <c r="P672" s="18"/>
      <c r="U672" s="18"/>
      <c r="Z672" s="18"/>
    </row>
    <row r="673" spans="16:26" x14ac:dyDescent="0.35">
      <c r="P673" s="18"/>
      <c r="U673" s="18"/>
      <c r="Z673" s="18"/>
    </row>
    <row r="674" spans="16:26" x14ac:dyDescent="0.35">
      <c r="P674" s="18"/>
      <c r="U674" s="18"/>
      <c r="Z674" s="18"/>
    </row>
    <row r="675" spans="16:26" x14ac:dyDescent="0.35">
      <c r="P675" s="18"/>
      <c r="U675" s="18"/>
      <c r="Z675" s="18"/>
    </row>
    <row r="676" spans="16:26" x14ac:dyDescent="0.35">
      <c r="P676" s="18"/>
      <c r="U676" s="18"/>
      <c r="Z676" s="18"/>
    </row>
    <row r="677" spans="16:26" x14ac:dyDescent="0.35">
      <c r="P677" s="18"/>
      <c r="U677" s="18"/>
      <c r="Z677" s="18"/>
    </row>
    <row r="678" spans="16:26" x14ac:dyDescent="0.35">
      <c r="P678" s="18"/>
      <c r="U678" s="18"/>
      <c r="Z678" s="18"/>
    </row>
    <row r="679" spans="16:26" x14ac:dyDescent="0.35">
      <c r="P679" s="18"/>
      <c r="U679" s="18"/>
      <c r="Z679" s="18"/>
    </row>
    <row r="680" spans="16:26" x14ac:dyDescent="0.35">
      <c r="P680" s="18"/>
      <c r="U680" s="18"/>
      <c r="Z680" s="18"/>
    </row>
    <row r="681" spans="16:26" x14ac:dyDescent="0.35">
      <c r="P681" s="18"/>
      <c r="U681" s="18"/>
      <c r="Z681" s="18"/>
    </row>
    <row r="682" spans="16:26" x14ac:dyDescent="0.35">
      <c r="P682" s="18"/>
      <c r="U682" s="18"/>
      <c r="Z682" s="18"/>
    </row>
    <row r="683" spans="16:26" x14ac:dyDescent="0.35">
      <c r="P683" s="18"/>
      <c r="U683" s="18"/>
      <c r="Z683" s="18"/>
    </row>
    <row r="684" spans="16:26" x14ac:dyDescent="0.35">
      <c r="P684" s="18"/>
      <c r="U684" s="18"/>
      <c r="Z684" s="18"/>
    </row>
    <row r="685" spans="16:26" x14ac:dyDescent="0.35">
      <c r="P685" s="18"/>
      <c r="U685" s="18"/>
      <c r="Z685" s="18"/>
    </row>
    <row r="686" spans="16:26" x14ac:dyDescent="0.35">
      <c r="P686" s="18"/>
      <c r="U686" s="18"/>
      <c r="Z686" s="18"/>
    </row>
  </sheetData>
  <sheetProtection formatCells="0" sort="0" autoFilter="0"/>
  <mergeCells count="11">
    <mergeCell ref="AC6:AG6"/>
    <mergeCell ref="B1:AB1"/>
    <mergeCell ref="B2:H2"/>
    <mergeCell ref="F6:H6"/>
    <mergeCell ref="I6:L6"/>
    <mergeCell ref="M6:O6"/>
    <mergeCell ref="P6:T6"/>
    <mergeCell ref="U6:Y6"/>
    <mergeCell ref="Z6:AB6"/>
    <mergeCell ref="B6:E6"/>
    <mergeCell ref="D4:E4"/>
  </mergeCells>
  <phoneticPr fontId="1" type="noConversion"/>
  <conditionalFormatting sqref="C4 F4">
    <cfRule type="iconSet" priority="23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C5 F5">
    <cfRule type="iconSet" priority="27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F8:F34">
    <cfRule type="containsText" dxfId="5" priority="5" operator="containsText" text="⛔️">
      <formula>NOT(ISERROR(SEARCH("⛔️",F8)))</formula>
    </cfRule>
    <cfRule type="containsText" dxfId="4" priority="6" operator="containsText" text="⚠️">
      <formula>NOT(ISERROR(SEARCH("⚠️",F8)))</formula>
    </cfRule>
    <cfRule type="containsText" dxfId="3" priority="7" operator="containsText" text="✅">
      <formula>NOT(ISERROR(SEARCH("✅",F8)))</formula>
    </cfRule>
  </conditionalFormatting>
  <conditionalFormatting sqref="F35:F40">
    <cfRule type="iconSet" priority="43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4">
    <cfRule type="iconSet" priority="22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5">
    <cfRule type="iconSet" priority="26">
      <iconSet iconSet="3Symbols" showValue="0">
        <cfvo type="percent" val="0"/>
        <cfvo type="formula" val="TODAY()" gte="0"/>
        <cfvo type="formula" val="TODAY()+31" gte="0"/>
      </iconSet>
    </cfRule>
  </conditionalFormatting>
  <conditionalFormatting sqref="H8:H34">
    <cfRule type="containsText" dxfId="2" priority="15" operator="containsText" text="Cas à justifier">
      <formula>NOT(ISERROR(SEARCH("Cas à justifier",H8)))</formula>
    </cfRule>
  </conditionalFormatting>
  <conditionalFormatting sqref="AA8:AA27">
    <cfRule type="containsText" dxfId="1" priority="29" operator="containsText" text="Examen expiré">
      <formula>NOT(ISERROR(SEARCH("Examen expiré",AA8)))</formula>
    </cfRule>
  </conditionalFormatting>
  <conditionalFormatting sqref="AA33:AA34">
    <cfRule type="containsText" dxfId="0" priority="9" operator="containsText" text="Examen expiré">
      <formula>NOT(ISERROR(SEARCH("Examen expiré",AA33)))</formula>
    </cfRule>
  </conditionalFormatting>
  <pageMargins left="0.7" right="0.7" top="0.75" bottom="0.75" header="0.3" footer="0.3"/>
  <pageSetup paperSize="8" orientation="portrait" r:id="rId1"/>
  <ignoredErrors>
    <ignoredError sqref="F35:F40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82"/>
  <sheetViews>
    <sheetView workbookViewId="0">
      <selection activeCell="C21" sqref="C21"/>
    </sheetView>
  </sheetViews>
  <sheetFormatPr defaultColWidth="11.453125" defaultRowHeight="14.5" x14ac:dyDescent="0.35"/>
  <cols>
    <col min="2" max="2" width="10.81640625" style="18"/>
    <col min="3" max="3" width="19.81640625" style="18" customWidth="1"/>
    <col min="4" max="4" width="18.54296875" style="18" customWidth="1"/>
    <col min="5" max="5" width="57.1796875" style="18" customWidth="1"/>
    <col min="6" max="6" width="19" style="18" customWidth="1"/>
    <col min="7" max="7" width="16.26953125" style="18" customWidth="1"/>
    <col min="8" max="8" width="19.81640625" style="18" customWidth="1"/>
    <col min="9" max="9" width="14.1796875" style="18" customWidth="1"/>
    <col min="10" max="10" width="17.26953125" customWidth="1"/>
  </cols>
  <sheetData>
    <row r="2" spans="2:9" x14ac:dyDescent="0.35">
      <c r="B2" s="105" t="s">
        <v>599</v>
      </c>
      <c r="C2" s="105" t="s">
        <v>600</v>
      </c>
      <c r="D2" s="105" t="s">
        <v>601</v>
      </c>
      <c r="E2" s="105" t="s">
        <v>602</v>
      </c>
      <c r="F2" s="105" t="s">
        <v>603</v>
      </c>
      <c r="G2" s="105" t="s">
        <v>604</v>
      </c>
      <c r="H2" s="105" t="s">
        <v>605</v>
      </c>
      <c r="I2" s="105" t="s">
        <v>606</v>
      </c>
    </row>
    <row r="3" spans="2:9" x14ac:dyDescent="0.35">
      <c r="B3" s="121" t="s">
        <v>607</v>
      </c>
      <c r="C3" s="121" t="s">
        <v>608</v>
      </c>
      <c r="D3" s="121" t="s">
        <v>609</v>
      </c>
      <c r="E3" s="121" t="s">
        <v>610</v>
      </c>
      <c r="F3" s="121" t="s">
        <v>611</v>
      </c>
      <c r="G3" s="121" t="s">
        <v>612</v>
      </c>
      <c r="H3" s="122">
        <v>45662</v>
      </c>
      <c r="I3" s="121" t="s">
        <v>613</v>
      </c>
    </row>
    <row r="4" spans="2:9" hidden="1" x14ac:dyDescent="0.35">
      <c r="B4" s="121" t="s">
        <v>614</v>
      </c>
      <c r="C4" s="121" t="s">
        <v>615</v>
      </c>
      <c r="D4" s="121" t="s">
        <v>616</v>
      </c>
      <c r="E4" s="121" t="s">
        <v>617</v>
      </c>
      <c r="F4" s="121" t="s">
        <v>618</v>
      </c>
      <c r="G4" s="121" t="s">
        <v>612</v>
      </c>
      <c r="H4" s="122">
        <v>45663</v>
      </c>
      <c r="I4" s="121" t="s">
        <v>613</v>
      </c>
    </row>
    <row r="5" spans="2:9" hidden="1" x14ac:dyDescent="0.35">
      <c r="B5" s="121" t="s">
        <v>619</v>
      </c>
      <c r="C5" s="121" t="s">
        <v>620</v>
      </c>
      <c r="D5" s="121" t="s">
        <v>621</v>
      </c>
      <c r="E5" s="121" t="s">
        <v>622</v>
      </c>
      <c r="F5" s="121" t="s">
        <v>618</v>
      </c>
      <c r="G5" s="121" t="s">
        <v>612</v>
      </c>
      <c r="H5" s="122">
        <v>45664</v>
      </c>
      <c r="I5" s="121" t="s">
        <v>613</v>
      </c>
    </row>
    <row r="6" spans="2:9" hidden="1" x14ac:dyDescent="0.35">
      <c r="B6" s="121" t="s">
        <v>623</v>
      </c>
      <c r="C6" s="121" t="s">
        <v>624</v>
      </c>
      <c r="D6" s="121" t="s">
        <v>625</v>
      </c>
      <c r="E6" s="121" t="s">
        <v>626</v>
      </c>
      <c r="F6" s="121" t="s">
        <v>611</v>
      </c>
      <c r="G6" s="121" t="s">
        <v>612</v>
      </c>
      <c r="H6" s="122">
        <v>45665</v>
      </c>
      <c r="I6" s="121" t="s">
        <v>613</v>
      </c>
    </row>
    <row r="7" spans="2:9" hidden="1" x14ac:dyDescent="0.35">
      <c r="B7" s="121" t="s">
        <v>627</v>
      </c>
      <c r="C7" s="121" t="s">
        <v>628</v>
      </c>
      <c r="D7" s="121" t="s">
        <v>629</v>
      </c>
      <c r="E7" s="121" t="s">
        <v>630</v>
      </c>
      <c r="F7" s="121" t="s">
        <v>611</v>
      </c>
      <c r="G7" s="121" t="s">
        <v>612</v>
      </c>
      <c r="H7" s="122">
        <v>45665</v>
      </c>
      <c r="I7" s="121" t="s">
        <v>613</v>
      </c>
    </row>
    <row r="8" spans="2:9" hidden="1" x14ac:dyDescent="0.35">
      <c r="B8" s="121" t="s">
        <v>631</v>
      </c>
      <c r="C8" s="121" t="s">
        <v>632</v>
      </c>
      <c r="D8" s="121" t="s">
        <v>633</v>
      </c>
      <c r="E8" s="121" t="s">
        <v>626</v>
      </c>
      <c r="F8" s="121" t="s">
        <v>611</v>
      </c>
      <c r="G8" s="121" t="s">
        <v>612</v>
      </c>
      <c r="H8" s="122">
        <v>45669</v>
      </c>
      <c r="I8" s="121" t="s">
        <v>613</v>
      </c>
    </row>
    <row r="9" spans="2:9" x14ac:dyDescent="0.35">
      <c r="B9" s="121" t="s">
        <v>391</v>
      </c>
      <c r="C9" s="121" t="s">
        <v>634</v>
      </c>
      <c r="D9" s="121" t="s">
        <v>635</v>
      </c>
      <c r="E9" s="121" t="s">
        <v>636</v>
      </c>
      <c r="F9" s="121" t="s">
        <v>611</v>
      </c>
      <c r="G9" s="121" t="s">
        <v>612</v>
      </c>
      <c r="H9" s="122">
        <v>45669</v>
      </c>
      <c r="I9" s="121" t="s">
        <v>613</v>
      </c>
    </row>
    <row r="10" spans="2:9" hidden="1" x14ac:dyDescent="0.35">
      <c r="B10" s="121" t="s">
        <v>637</v>
      </c>
      <c r="C10" s="121" t="s">
        <v>638</v>
      </c>
      <c r="D10" s="121" t="s">
        <v>639</v>
      </c>
      <c r="E10" s="121" t="s">
        <v>630</v>
      </c>
      <c r="F10" s="121" t="s">
        <v>611</v>
      </c>
      <c r="G10" s="121" t="s">
        <v>640</v>
      </c>
      <c r="H10" s="122">
        <v>45673</v>
      </c>
      <c r="I10" s="121" t="s">
        <v>613</v>
      </c>
    </row>
    <row r="11" spans="2:9" x14ac:dyDescent="0.35">
      <c r="B11" s="121" t="s">
        <v>188</v>
      </c>
      <c r="C11" s="121" t="s">
        <v>641</v>
      </c>
      <c r="D11" s="121" t="s">
        <v>642</v>
      </c>
      <c r="E11" s="121" t="s">
        <v>643</v>
      </c>
      <c r="F11" s="121" t="s">
        <v>611</v>
      </c>
      <c r="G11" s="121" t="s">
        <v>612</v>
      </c>
      <c r="H11" s="122">
        <v>45676</v>
      </c>
      <c r="I11" s="121" t="s">
        <v>613</v>
      </c>
    </row>
    <row r="12" spans="2:9" x14ac:dyDescent="0.35">
      <c r="B12" s="121" t="s">
        <v>251</v>
      </c>
      <c r="C12" s="121" t="s">
        <v>644</v>
      </c>
      <c r="D12" s="121" t="s">
        <v>645</v>
      </c>
      <c r="E12" s="121" t="s">
        <v>643</v>
      </c>
      <c r="F12" s="121" t="s">
        <v>611</v>
      </c>
      <c r="G12" s="121" t="s">
        <v>612</v>
      </c>
      <c r="H12" s="122">
        <v>45676</v>
      </c>
      <c r="I12" s="121" t="s">
        <v>613</v>
      </c>
    </row>
    <row r="13" spans="2:9" x14ac:dyDescent="0.35">
      <c r="B13" s="121" t="s">
        <v>130</v>
      </c>
      <c r="C13" s="121" t="s">
        <v>646</v>
      </c>
      <c r="D13" s="121" t="s">
        <v>647</v>
      </c>
      <c r="E13" s="121" t="s">
        <v>648</v>
      </c>
      <c r="F13" s="121" t="s">
        <v>611</v>
      </c>
      <c r="G13" s="121" t="s">
        <v>612</v>
      </c>
      <c r="H13" s="122">
        <v>45676</v>
      </c>
      <c r="I13" s="121" t="s">
        <v>613</v>
      </c>
    </row>
    <row r="14" spans="2:9" x14ac:dyDescent="0.35">
      <c r="B14" s="121" t="s">
        <v>89</v>
      </c>
      <c r="C14" s="121" t="s">
        <v>649</v>
      </c>
      <c r="D14" s="121" t="s">
        <v>650</v>
      </c>
      <c r="E14" s="121" t="s">
        <v>643</v>
      </c>
      <c r="F14" s="121" t="s">
        <v>611</v>
      </c>
      <c r="G14" s="121" t="s">
        <v>612</v>
      </c>
      <c r="H14" s="122">
        <v>45677</v>
      </c>
      <c r="I14" s="121" t="s">
        <v>613</v>
      </c>
    </row>
    <row r="15" spans="2:9" x14ac:dyDescent="0.35">
      <c r="B15" s="121" t="s">
        <v>528</v>
      </c>
      <c r="C15" s="121" t="s">
        <v>651</v>
      </c>
      <c r="D15" s="121" t="s">
        <v>652</v>
      </c>
      <c r="E15" s="121" t="s">
        <v>643</v>
      </c>
      <c r="F15" s="121" t="s">
        <v>611</v>
      </c>
      <c r="G15" s="121" t="s">
        <v>612</v>
      </c>
      <c r="H15" s="122">
        <v>45677</v>
      </c>
      <c r="I15" s="121" t="s">
        <v>613</v>
      </c>
    </row>
    <row r="16" spans="2:9" hidden="1" x14ac:dyDescent="0.35">
      <c r="B16" s="121" t="s">
        <v>653</v>
      </c>
      <c r="C16" s="121" t="s">
        <v>654</v>
      </c>
      <c r="D16" s="121" t="s">
        <v>655</v>
      </c>
      <c r="E16" s="121" t="s">
        <v>617</v>
      </c>
      <c r="F16" s="121" t="s">
        <v>618</v>
      </c>
      <c r="G16" s="121" t="s">
        <v>612</v>
      </c>
      <c r="H16" s="122">
        <v>45677</v>
      </c>
      <c r="I16" s="121" t="s">
        <v>613</v>
      </c>
    </row>
    <row r="17" spans="2:9" hidden="1" x14ac:dyDescent="0.35">
      <c r="B17" s="121" t="s">
        <v>656</v>
      </c>
      <c r="C17" s="121" t="s">
        <v>657</v>
      </c>
      <c r="D17" s="121" t="s">
        <v>658</v>
      </c>
      <c r="E17" s="121" t="s">
        <v>659</v>
      </c>
      <c r="F17" s="121" t="s">
        <v>618</v>
      </c>
      <c r="G17" s="121" t="s">
        <v>612</v>
      </c>
      <c r="H17" s="122">
        <v>45677</v>
      </c>
      <c r="I17" s="121" t="s">
        <v>613</v>
      </c>
    </row>
    <row r="18" spans="2:9" x14ac:dyDescent="0.35">
      <c r="B18" s="121" t="s">
        <v>95</v>
      </c>
      <c r="C18" s="121" t="s">
        <v>660</v>
      </c>
      <c r="D18" s="121" t="s">
        <v>661</v>
      </c>
      <c r="E18" s="121" t="s">
        <v>643</v>
      </c>
      <c r="F18" s="121" t="s">
        <v>611</v>
      </c>
      <c r="G18" s="121" t="s">
        <v>612</v>
      </c>
      <c r="H18" s="122">
        <v>45678</v>
      </c>
      <c r="I18" s="121" t="s">
        <v>613</v>
      </c>
    </row>
    <row r="19" spans="2:9" x14ac:dyDescent="0.35">
      <c r="B19" s="121" t="s">
        <v>452</v>
      </c>
      <c r="C19" s="121" t="s">
        <v>662</v>
      </c>
      <c r="D19" s="121" t="s">
        <v>661</v>
      </c>
      <c r="E19" s="121" t="s">
        <v>636</v>
      </c>
      <c r="F19" s="121" t="s">
        <v>611</v>
      </c>
      <c r="G19" s="121" t="s">
        <v>612</v>
      </c>
      <c r="H19" s="122">
        <v>45678</v>
      </c>
      <c r="I19" s="121" t="s">
        <v>613</v>
      </c>
    </row>
    <row r="20" spans="2:9" hidden="1" x14ac:dyDescent="0.35">
      <c r="B20" s="121" t="s">
        <v>663</v>
      </c>
      <c r="C20" s="121" t="s">
        <v>664</v>
      </c>
      <c r="D20" s="121" t="s">
        <v>665</v>
      </c>
      <c r="E20" s="121" t="s">
        <v>617</v>
      </c>
      <c r="F20" s="121" t="s">
        <v>618</v>
      </c>
      <c r="G20" s="121" t="s">
        <v>612</v>
      </c>
      <c r="H20" s="122">
        <v>45678</v>
      </c>
      <c r="I20" s="121" t="s">
        <v>613</v>
      </c>
    </row>
    <row r="21" spans="2:9" x14ac:dyDescent="0.35">
      <c r="B21" s="121" t="s">
        <v>303</v>
      </c>
      <c r="C21" s="121" t="s">
        <v>666</v>
      </c>
      <c r="D21" s="121" t="s">
        <v>633</v>
      </c>
      <c r="E21" s="121" t="s">
        <v>667</v>
      </c>
      <c r="F21" s="121" t="s">
        <v>611</v>
      </c>
      <c r="G21" s="121" t="s">
        <v>612</v>
      </c>
      <c r="H21" s="122">
        <v>45678</v>
      </c>
      <c r="I21" s="121" t="s">
        <v>613</v>
      </c>
    </row>
    <row r="22" spans="2:9" x14ac:dyDescent="0.35">
      <c r="B22" s="121" t="s">
        <v>235</v>
      </c>
      <c r="C22" s="121" t="s">
        <v>668</v>
      </c>
      <c r="D22" s="121" t="s">
        <v>669</v>
      </c>
      <c r="E22" s="121" t="s">
        <v>648</v>
      </c>
      <c r="F22" s="121" t="s">
        <v>611</v>
      </c>
      <c r="G22" s="121" t="s">
        <v>612</v>
      </c>
      <c r="H22" s="122">
        <v>45679</v>
      </c>
      <c r="I22" s="121" t="s">
        <v>613</v>
      </c>
    </row>
    <row r="23" spans="2:9" x14ac:dyDescent="0.35">
      <c r="B23" s="121" t="s">
        <v>108</v>
      </c>
      <c r="C23" s="121" t="s">
        <v>670</v>
      </c>
      <c r="D23" s="121" t="s">
        <v>616</v>
      </c>
      <c r="E23" s="121" t="s">
        <v>636</v>
      </c>
      <c r="F23" s="121" t="s">
        <v>611</v>
      </c>
      <c r="G23" s="121" t="s">
        <v>612</v>
      </c>
      <c r="H23" s="122">
        <v>45680</v>
      </c>
      <c r="I23" s="121" t="s">
        <v>613</v>
      </c>
    </row>
    <row r="24" spans="2:9" hidden="1" x14ac:dyDescent="0.35">
      <c r="B24" s="121" t="s">
        <v>671</v>
      </c>
      <c r="C24" s="121" t="s">
        <v>672</v>
      </c>
      <c r="D24" s="121" t="s">
        <v>633</v>
      </c>
      <c r="E24" s="121" t="s">
        <v>617</v>
      </c>
      <c r="F24" s="121" t="s">
        <v>618</v>
      </c>
      <c r="G24" s="121" t="s">
        <v>612</v>
      </c>
      <c r="H24" s="122">
        <v>45680</v>
      </c>
      <c r="I24" s="121" t="s">
        <v>613</v>
      </c>
    </row>
    <row r="25" spans="2:9" x14ac:dyDescent="0.35">
      <c r="B25" s="121" t="s">
        <v>673</v>
      </c>
      <c r="C25" s="121" t="s">
        <v>674</v>
      </c>
      <c r="D25" s="121" t="s">
        <v>675</v>
      </c>
      <c r="E25" s="121" t="s">
        <v>643</v>
      </c>
      <c r="F25" s="121" t="s">
        <v>611</v>
      </c>
      <c r="G25" s="121" t="s">
        <v>612</v>
      </c>
      <c r="H25" s="122">
        <v>45681</v>
      </c>
      <c r="I25" s="121" t="s">
        <v>613</v>
      </c>
    </row>
    <row r="26" spans="2:9" hidden="1" x14ac:dyDescent="0.35">
      <c r="B26" s="121" t="s">
        <v>676</v>
      </c>
      <c r="C26" s="121" t="s">
        <v>677</v>
      </c>
      <c r="D26" s="121" t="s">
        <v>633</v>
      </c>
      <c r="E26" s="121" t="s">
        <v>630</v>
      </c>
      <c r="F26" s="121" t="s">
        <v>611</v>
      </c>
      <c r="G26" s="121" t="s">
        <v>612</v>
      </c>
      <c r="H26" s="122">
        <v>45681</v>
      </c>
      <c r="I26" s="121" t="s">
        <v>613</v>
      </c>
    </row>
    <row r="27" spans="2:9" hidden="1" x14ac:dyDescent="0.35">
      <c r="B27" s="121" t="s">
        <v>678</v>
      </c>
      <c r="C27" s="121" t="s">
        <v>679</v>
      </c>
      <c r="D27" s="121" t="s">
        <v>680</v>
      </c>
      <c r="E27" s="121" t="s">
        <v>630</v>
      </c>
      <c r="F27" s="121" t="s">
        <v>611</v>
      </c>
      <c r="G27" s="121" t="s">
        <v>612</v>
      </c>
      <c r="H27" s="122">
        <v>45681</v>
      </c>
      <c r="I27" s="121" t="s">
        <v>613</v>
      </c>
    </row>
    <row r="28" spans="2:9" hidden="1" x14ac:dyDescent="0.35">
      <c r="B28" s="121" t="s">
        <v>681</v>
      </c>
      <c r="C28" s="121" t="s">
        <v>682</v>
      </c>
      <c r="D28" s="121" t="s">
        <v>683</v>
      </c>
      <c r="E28" s="121" t="s">
        <v>622</v>
      </c>
      <c r="F28" s="121" t="s">
        <v>618</v>
      </c>
      <c r="G28" s="121" t="s">
        <v>612</v>
      </c>
      <c r="H28" s="122">
        <v>45681</v>
      </c>
      <c r="I28" s="121" t="s">
        <v>613</v>
      </c>
    </row>
    <row r="29" spans="2:9" hidden="1" x14ac:dyDescent="0.35">
      <c r="B29" s="121" t="s">
        <v>684</v>
      </c>
      <c r="C29" s="121" t="s">
        <v>685</v>
      </c>
      <c r="D29" s="121" t="s">
        <v>686</v>
      </c>
      <c r="E29" s="121" t="s">
        <v>630</v>
      </c>
      <c r="F29" s="121" t="s">
        <v>611</v>
      </c>
      <c r="G29" s="121" t="s">
        <v>612</v>
      </c>
      <c r="H29" s="122">
        <v>45682</v>
      </c>
      <c r="I29" s="121" t="s">
        <v>613</v>
      </c>
    </row>
    <row r="30" spans="2:9" x14ac:dyDescent="0.35">
      <c r="B30" s="121" t="s">
        <v>175</v>
      </c>
      <c r="C30" s="121" t="s">
        <v>687</v>
      </c>
      <c r="D30" s="121" t="s">
        <v>660</v>
      </c>
      <c r="E30" s="121" t="s">
        <v>667</v>
      </c>
      <c r="F30" s="121" t="s">
        <v>611</v>
      </c>
      <c r="G30" s="121" t="s">
        <v>612</v>
      </c>
      <c r="H30" s="122">
        <v>45682</v>
      </c>
      <c r="I30" s="121" t="s">
        <v>613</v>
      </c>
    </row>
    <row r="31" spans="2:9" hidden="1" x14ac:dyDescent="0.35">
      <c r="B31" s="121" t="s">
        <v>688</v>
      </c>
      <c r="C31" s="121" t="s">
        <v>689</v>
      </c>
      <c r="D31" s="121" t="s">
        <v>690</v>
      </c>
      <c r="E31" s="121" t="s">
        <v>691</v>
      </c>
      <c r="F31" s="121" t="s">
        <v>618</v>
      </c>
      <c r="G31" s="121" t="s">
        <v>640</v>
      </c>
      <c r="H31" s="122">
        <v>45682</v>
      </c>
      <c r="I31" s="121" t="s">
        <v>613</v>
      </c>
    </row>
    <row r="32" spans="2:9" hidden="1" x14ac:dyDescent="0.35">
      <c r="B32" s="121" t="s">
        <v>692</v>
      </c>
      <c r="C32" s="121" t="s">
        <v>693</v>
      </c>
      <c r="D32" s="121" t="s">
        <v>694</v>
      </c>
      <c r="E32" s="121" t="s">
        <v>622</v>
      </c>
      <c r="F32" s="121" t="s">
        <v>618</v>
      </c>
      <c r="G32" s="121" t="s">
        <v>612</v>
      </c>
      <c r="H32" s="122">
        <v>45682</v>
      </c>
      <c r="I32" s="121" t="s">
        <v>613</v>
      </c>
    </row>
    <row r="33" spans="2:9" hidden="1" x14ac:dyDescent="0.35">
      <c r="B33" s="121" t="s">
        <v>695</v>
      </c>
      <c r="C33" s="121" t="s">
        <v>696</v>
      </c>
      <c r="D33" s="121" t="s">
        <v>697</v>
      </c>
      <c r="E33" s="121" t="s">
        <v>617</v>
      </c>
      <c r="F33" s="121" t="s">
        <v>618</v>
      </c>
      <c r="G33" s="121" t="s">
        <v>612</v>
      </c>
      <c r="H33" s="122">
        <v>45683</v>
      </c>
      <c r="I33" s="121" t="s">
        <v>613</v>
      </c>
    </row>
    <row r="34" spans="2:9" hidden="1" x14ac:dyDescent="0.35">
      <c r="B34" s="121" t="s">
        <v>698</v>
      </c>
      <c r="C34" s="121" t="s">
        <v>699</v>
      </c>
      <c r="D34" s="121" t="s">
        <v>700</v>
      </c>
      <c r="E34" s="121" t="s">
        <v>691</v>
      </c>
      <c r="F34" s="121" t="s">
        <v>618</v>
      </c>
      <c r="G34" s="121" t="s">
        <v>612</v>
      </c>
      <c r="H34" s="122">
        <v>45683</v>
      </c>
      <c r="I34" s="121" t="s">
        <v>613</v>
      </c>
    </row>
    <row r="35" spans="2:9" x14ac:dyDescent="0.35">
      <c r="B35" s="121" t="s">
        <v>240</v>
      </c>
      <c r="C35" s="121" t="s">
        <v>701</v>
      </c>
      <c r="D35" s="121" t="s">
        <v>686</v>
      </c>
      <c r="E35" s="121" t="s">
        <v>643</v>
      </c>
      <c r="F35" s="121" t="s">
        <v>611</v>
      </c>
      <c r="G35" s="121" t="s">
        <v>612</v>
      </c>
      <c r="H35" s="122">
        <v>45685</v>
      </c>
      <c r="I35" s="121" t="s">
        <v>613</v>
      </c>
    </row>
    <row r="36" spans="2:9" x14ac:dyDescent="0.35">
      <c r="B36" s="121" t="s">
        <v>187</v>
      </c>
      <c r="C36" s="121" t="s">
        <v>702</v>
      </c>
      <c r="D36" s="121" t="s">
        <v>703</v>
      </c>
      <c r="E36" s="121" t="s">
        <v>667</v>
      </c>
      <c r="F36" s="121" t="s">
        <v>611</v>
      </c>
      <c r="G36" s="121" t="s">
        <v>612</v>
      </c>
      <c r="H36" s="122">
        <v>45685</v>
      </c>
      <c r="I36" s="121" t="s">
        <v>613</v>
      </c>
    </row>
    <row r="37" spans="2:9" hidden="1" x14ac:dyDescent="0.35">
      <c r="B37" s="121" t="s">
        <v>704</v>
      </c>
      <c r="C37" s="121" t="s">
        <v>705</v>
      </c>
      <c r="D37" s="121" t="s">
        <v>645</v>
      </c>
      <c r="E37" s="121" t="s">
        <v>622</v>
      </c>
      <c r="F37" s="121" t="s">
        <v>618</v>
      </c>
      <c r="G37" s="121" t="s">
        <v>612</v>
      </c>
      <c r="H37" s="122">
        <v>45686</v>
      </c>
      <c r="I37" s="121" t="s">
        <v>613</v>
      </c>
    </row>
    <row r="38" spans="2:9" x14ac:dyDescent="0.35">
      <c r="B38" s="121" t="s">
        <v>262</v>
      </c>
      <c r="C38" s="121" t="s">
        <v>706</v>
      </c>
      <c r="D38" s="121" t="s">
        <v>707</v>
      </c>
      <c r="E38" s="121" t="s">
        <v>643</v>
      </c>
      <c r="F38" s="121" t="s">
        <v>611</v>
      </c>
      <c r="G38" s="121" t="s">
        <v>612</v>
      </c>
      <c r="H38" s="122">
        <v>45688</v>
      </c>
      <c r="I38" s="121" t="s">
        <v>613</v>
      </c>
    </row>
    <row r="39" spans="2:9" x14ac:dyDescent="0.35">
      <c r="B39" s="121" t="s">
        <v>387</v>
      </c>
      <c r="C39" s="121" t="s">
        <v>708</v>
      </c>
      <c r="D39" s="121" t="s">
        <v>709</v>
      </c>
      <c r="E39" s="121" t="s">
        <v>648</v>
      </c>
      <c r="F39" s="121" t="s">
        <v>611</v>
      </c>
      <c r="G39" s="121" t="s">
        <v>612</v>
      </c>
      <c r="H39" s="122">
        <v>45688</v>
      </c>
      <c r="I39" s="121" t="s">
        <v>613</v>
      </c>
    </row>
    <row r="40" spans="2:9" x14ac:dyDescent="0.35">
      <c r="B40" s="121" t="s">
        <v>710</v>
      </c>
      <c r="C40" s="121" t="s">
        <v>711</v>
      </c>
      <c r="D40" s="121" t="s">
        <v>712</v>
      </c>
      <c r="E40" s="121" t="s">
        <v>636</v>
      </c>
      <c r="F40" s="121" t="s">
        <v>611</v>
      </c>
      <c r="G40" s="121" t="s">
        <v>612</v>
      </c>
      <c r="H40" s="122">
        <v>45690</v>
      </c>
      <c r="I40" s="121" t="s">
        <v>613</v>
      </c>
    </row>
    <row r="41" spans="2:9" hidden="1" x14ac:dyDescent="0.35">
      <c r="B41" s="121" t="s">
        <v>713</v>
      </c>
      <c r="C41" s="121" t="s">
        <v>714</v>
      </c>
      <c r="D41" s="121" t="s">
        <v>715</v>
      </c>
      <c r="E41" s="121" t="s">
        <v>659</v>
      </c>
      <c r="F41" s="121" t="s">
        <v>618</v>
      </c>
      <c r="G41" s="121" t="s">
        <v>612</v>
      </c>
      <c r="H41" s="122">
        <v>45692</v>
      </c>
      <c r="I41" s="121" t="s">
        <v>613</v>
      </c>
    </row>
    <row r="42" spans="2:9" x14ac:dyDescent="0.35">
      <c r="B42" s="121" t="s">
        <v>593</v>
      </c>
      <c r="C42" s="121" t="s">
        <v>716</v>
      </c>
      <c r="D42" s="121" t="s">
        <v>717</v>
      </c>
      <c r="E42" s="121" t="s">
        <v>636</v>
      </c>
      <c r="F42" s="121" t="s">
        <v>611</v>
      </c>
      <c r="G42" s="121" t="s">
        <v>612</v>
      </c>
      <c r="H42" s="122">
        <v>45695</v>
      </c>
      <c r="I42" s="121" t="s">
        <v>613</v>
      </c>
    </row>
    <row r="43" spans="2:9" hidden="1" x14ac:dyDescent="0.35">
      <c r="B43" s="121" t="s">
        <v>718</v>
      </c>
      <c r="C43" s="121" t="s">
        <v>719</v>
      </c>
      <c r="D43" s="121" t="s">
        <v>720</v>
      </c>
      <c r="E43" s="121" t="s">
        <v>626</v>
      </c>
      <c r="F43" s="121" t="s">
        <v>611</v>
      </c>
      <c r="G43" s="121" t="s">
        <v>612</v>
      </c>
      <c r="H43" s="122">
        <v>45696</v>
      </c>
      <c r="I43" s="121" t="s">
        <v>613</v>
      </c>
    </row>
    <row r="44" spans="2:9" hidden="1" x14ac:dyDescent="0.35">
      <c r="B44" s="121" t="s">
        <v>721</v>
      </c>
      <c r="C44" s="121" t="s">
        <v>696</v>
      </c>
      <c r="D44" s="121" t="s">
        <v>660</v>
      </c>
      <c r="E44" s="121" t="s">
        <v>617</v>
      </c>
      <c r="F44" s="121" t="s">
        <v>618</v>
      </c>
      <c r="G44" s="121" t="s">
        <v>612</v>
      </c>
      <c r="H44" s="122">
        <v>45697</v>
      </c>
      <c r="I44" s="121" t="s">
        <v>613</v>
      </c>
    </row>
    <row r="45" spans="2:9" x14ac:dyDescent="0.35">
      <c r="B45" s="121" t="s">
        <v>248</v>
      </c>
      <c r="C45" s="121" t="s">
        <v>722</v>
      </c>
      <c r="D45" s="121" t="s">
        <v>723</v>
      </c>
      <c r="E45" s="121" t="s">
        <v>643</v>
      </c>
      <c r="F45" s="121" t="s">
        <v>611</v>
      </c>
      <c r="G45" s="121" t="s">
        <v>612</v>
      </c>
      <c r="H45" s="122">
        <v>45702</v>
      </c>
      <c r="I45" s="121" t="s">
        <v>613</v>
      </c>
    </row>
    <row r="46" spans="2:9" x14ac:dyDescent="0.35">
      <c r="B46" s="121" t="s">
        <v>111</v>
      </c>
      <c r="C46" s="121" t="s">
        <v>724</v>
      </c>
      <c r="D46" s="121" t="s">
        <v>725</v>
      </c>
      <c r="E46" s="121" t="s">
        <v>636</v>
      </c>
      <c r="F46" s="121" t="s">
        <v>611</v>
      </c>
      <c r="G46" s="121" t="s">
        <v>612</v>
      </c>
      <c r="H46" s="122">
        <v>45707</v>
      </c>
      <c r="I46" s="121" t="s">
        <v>613</v>
      </c>
    </row>
    <row r="47" spans="2:9" hidden="1" x14ac:dyDescent="0.35">
      <c r="B47" s="121" t="s">
        <v>726</v>
      </c>
      <c r="C47" s="121" t="s">
        <v>727</v>
      </c>
      <c r="D47" s="121" t="s">
        <v>728</v>
      </c>
      <c r="E47" s="121" t="s">
        <v>691</v>
      </c>
      <c r="F47" s="121" t="s">
        <v>618</v>
      </c>
      <c r="G47" s="121" t="s">
        <v>612</v>
      </c>
      <c r="H47" s="122">
        <v>45708</v>
      </c>
      <c r="I47" s="121" t="s">
        <v>613</v>
      </c>
    </row>
    <row r="48" spans="2:9" x14ac:dyDescent="0.35">
      <c r="B48" s="121" t="s">
        <v>210</v>
      </c>
      <c r="C48" s="121" t="s">
        <v>729</v>
      </c>
      <c r="D48" s="121" t="s">
        <v>730</v>
      </c>
      <c r="E48" s="121" t="s">
        <v>648</v>
      </c>
      <c r="F48" s="121" t="s">
        <v>611</v>
      </c>
      <c r="G48" s="121" t="s">
        <v>612</v>
      </c>
      <c r="H48" s="122">
        <v>45715</v>
      </c>
      <c r="I48" s="121" t="s">
        <v>613</v>
      </c>
    </row>
    <row r="49" spans="2:9" x14ac:dyDescent="0.35">
      <c r="B49" s="121" t="s">
        <v>232</v>
      </c>
      <c r="C49" s="121" t="s">
        <v>731</v>
      </c>
      <c r="D49" s="121" t="s">
        <v>732</v>
      </c>
      <c r="E49" s="121" t="s">
        <v>733</v>
      </c>
      <c r="F49" s="121" t="s">
        <v>611</v>
      </c>
      <c r="G49" s="121" t="s">
        <v>612</v>
      </c>
      <c r="H49" s="122">
        <v>45718</v>
      </c>
      <c r="I49" s="121" t="s">
        <v>613</v>
      </c>
    </row>
    <row r="50" spans="2:9" hidden="1" x14ac:dyDescent="0.35">
      <c r="B50" s="121" t="s">
        <v>734</v>
      </c>
      <c r="C50" s="121" t="s">
        <v>735</v>
      </c>
      <c r="D50" s="121" t="s">
        <v>736</v>
      </c>
      <c r="E50" s="121" t="s">
        <v>626</v>
      </c>
      <c r="F50" s="121" t="s">
        <v>611</v>
      </c>
      <c r="G50" s="121" t="s">
        <v>612</v>
      </c>
      <c r="H50" s="122">
        <v>45719</v>
      </c>
      <c r="I50" s="121" t="s">
        <v>613</v>
      </c>
    </row>
    <row r="51" spans="2:9" x14ac:dyDescent="0.35">
      <c r="B51" s="121" t="s">
        <v>49</v>
      </c>
      <c r="C51" s="121" t="s">
        <v>737</v>
      </c>
      <c r="D51" s="121" t="s">
        <v>703</v>
      </c>
      <c r="E51" s="121" t="s">
        <v>636</v>
      </c>
      <c r="F51" s="121" t="s">
        <v>611</v>
      </c>
      <c r="G51" s="121" t="s">
        <v>612</v>
      </c>
      <c r="H51" s="122">
        <v>45719</v>
      </c>
      <c r="I51" s="121" t="s">
        <v>613</v>
      </c>
    </row>
    <row r="52" spans="2:9" x14ac:dyDescent="0.35">
      <c r="B52" s="121" t="s">
        <v>275</v>
      </c>
      <c r="C52" s="121" t="s">
        <v>738</v>
      </c>
      <c r="D52" s="121" t="s">
        <v>709</v>
      </c>
      <c r="E52" s="121" t="s">
        <v>667</v>
      </c>
      <c r="F52" s="121" t="s">
        <v>611</v>
      </c>
      <c r="G52" s="121" t="s">
        <v>612</v>
      </c>
      <c r="H52" s="122">
        <v>45719</v>
      </c>
      <c r="I52" s="121" t="s">
        <v>613</v>
      </c>
    </row>
    <row r="53" spans="2:9" x14ac:dyDescent="0.35">
      <c r="B53" s="121" t="s">
        <v>59</v>
      </c>
      <c r="C53" s="121" t="s">
        <v>739</v>
      </c>
      <c r="D53" s="121" t="s">
        <v>647</v>
      </c>
      <c r="E53" s="121" t="s">
        <v>733</v>
      </c>
      <c r="F53" s="121" t="s">
        <v>611</v>
      </c>
      <c r="G53" s="121" t="s">
        <v>612</v>
      </c>
      <c r="H53" s="122">
        <v>45720</v>
      </c>
      <c r="I53" s="121" t="s">
        <v>613</v>
      </c>
    </row>
    <row r="54" spans="2:9" x14ac:dyDescent="0.35">
      <c r="B54" s="121" t="s">
        <v>226</v>
      </c>
      <c r="C54" s="121" t="s">
        <v>740</v>
      </c>
      <c r="D54" s="121" t="s">
        <v>703</v>
      </c>
      <c r="E54" s="121" t="s">
        <v>648</v>
      </c>
      <c r="F54" s="121" t="s">
        <v>611</v>
      </c>
      <c r="G54" s="121" t="s">
        <v>612</v>
      </c>
      <c r="H54" s="122">
        <v>45720</v>
      </c>
      <c r="I54" s="121" t="s">
        <v>613</v>
      </c>
    </row>
    <row r="55" spans="2:9" x14ac:dyDescent="0.35">
      <c r="B55" s="121" t="s">
        <v>229</v>
      </c>
      <c r="C55" s="121" t="s">
        <v>741</v>
      </c>
      <c r="D55" s="121" t="s">
        <v>742</v>
      </c>
      <c r="E55" s="121" t="s">
        <v>636</v>
      </c>
      <c r="F55" s="121" t="s">
        <v>611</v>
      </c>
      <c r="G55" s="121" t="s">
        <v>612</v>
      </c>
      <c r="H55" s="122">
        <v>45723</v>
      </c>
      <c r="I55" s="121" t="s">
        <v>613</v>
      </c>
    </row>
    <row r="56" spans="2:9" hidden="1" x14ac:dyDescent="0.35">
      <c r="B56" s="121" t="s">
        <v>743</v>
      </c>
      <c r="C56" s="121" t="s">
        <v>744</v>
      </c>
      <c r="D56" s="121" t="s">
        <v>732</v>
      </c>
      <c r="E56" s="121" t="s">
        <v>630</v>
      </c>
      <c r="F56" s="121" t="s">
        <v>611</v>
      </c>
      <c r="G56" s="121" t="s">
        <v>612</v>
      </c>
      <c r="H56" s="122">
        <v>45723</v>
      </c>
      <c r="I56" s="121" t="s">
        <v>613</v>
      </c>
    </row>
    <row r="57" spans="2:9" hidden="1" x14ac:dyDescent="0.35">
      <c r="B57" s="121" t="s">
        <v>745</v>
      </c>
      <c r="C57" s="121" t="s">
        <v>746</v>
      </c>
      <c r="D57" s="121" t="s">
        <v>747</v>
      </c>
      <c r="E57" s="121" t="s">
        <v>630</v>
      </c>
      <c r="F57" s="121" t="s">
        <v>611</v>
      </c>
      <c r="G57" s="121" t="s">
        <v>612</v>
      </c>
      <c r="H57" s="122">
        <v>45723</v>
      </c>
      <c r="I57" s="121" t="s">
        <v>613</v>
      </c>
    </row>
    <row r="58" spans="2:9" x14ac:dyDescent="0.35">
      <c r="B58" s="121" t="s">
        <v>62</v>
      </c>
      <c r="C58" s="121" t="s">
        <v>748</v>
      </c>
      <c r="D58" s="121" t="s">
        <v>686</v>
      </c>
      <c r="E58" s="121" t="s">
        <v>643</v>
      </c>
      <c r="F58" s="121" t="s">
        <v>611</v>
      </c>
      <c r="G58" s="121" t="s">
        <v>612</v>
      </c>
      <c r="H58" s="122">
        <v>45728</v>
      </c>
      <c r="I58" s="121" t="s">
        <v>613</v>
      </c>
    </row>
    <row r="59" spans="2:9" x14ac:dyDescent="0.35">
      <c r="B59" s="121" t="s">
        <v>63</v>
      </c>
      <c r="C59" s="121" t="s">
        <v>749</v>
      </c>
      <c r="D59" s="121" t="s">
        <v>750</v>
      </c>
      <c r="E59" s="121" t="s">
        <v>643</v>
      </c>
      <c r="F59" s="121" t="s">
        <v>611</v>
      </c>
      <c r="G59" s="121" t="s">
        <v>612</v>
      </c>
      <c r="H59" s="122">
        <v>45728</v>
      </c>
      <c r="I59" s="121" t="s">
        <v>613</v>
      </c>
    </row>
    <row r="60" spans="2:9" x14ac:dyDescent="0.35">
      <c r="B60" s="121" t="s">
        <v>356</v>
      </c>
      <c r="C60" s="121" t="s">
        <v>751</v>
      </c>
      <c r="D60" s="121" t="s">
        <v>752</v>
      </c>
      <c r="E60" s="121" t="s">
        <v>648</v>
      </c>
      <c r="F60" s="121" t="s">
        <v>611</v>
      </c>
      <c r="G60" s="121" t="s">
        <v>612</v>
      </c>
      <c r="H60" s="122">
        <v>45732</v>
      </c>
      <c r="I60" s="121" t="s">
        <v>613</v>
      </c>
    </row>
    <row r="61" spans="2:9" x14ac:dyDescent="0.35">
      <c r="B61" s="121" t="s">
        <v>753</v>
      </c>
      <c r="C61" s="121" t="s">
        <v>754</v>
      </c>
      <c r="D61" s="121" t="s">
        <v>755</v>
      </c>
      <c r="E61" s="121" t="s">
        <v>643</v>
      </c>
      <c r="F61" s="121" t="s">
        <v>611</v>
      </c>
      <c r="G61" s="121" t="s">
        <v>612</v>
      </c>
      <c r="H61" s="122">
        <v>45733</v>
      </c>
      <c r="I61" s="121" t="s">
        <v>613</v>
      </c>
    </row>
    <row r="62" spans="2:9" x14ac:dyDescent="0.35">
      <c r="B62" s="121" t="s">
        <v>537</v>
      </c>
      <c r="C62" s="121" t="s">
        <v>756</v>
      </c>
      <c r="D62" s="121" t="s">
        <v>757</v>
      </c>
      <c r="E62" s="121" t="s">
        <v>758</v>
      </c>
      <c r="F62" s="121" t="s">
        <v>611</v>
      </c>
      <c r="G62" s="121" t="s">
        <v>612</v>
      </c>
      <c r="H62" s="122">
        <v>45733</v>
      </c>
      <c r="I62" s="121" t="s">
        <v>613</v>
      </c>
    </row>
    <row r="63" spans="2:9" hidden="1" x14ac:dyDescent="0.35">
      <c r="B63" s="121" t="s">
        <v>759</v>
      </c>
      <c r="C63" s="121" t="s">
        <v>760</v>
      </c>
      <c r="D63" s="121" t="s">
        <v>761</v>
      </c>
      <c r="E63" s="121" t="s">
        <v>659</v>
      </c>
      <c r="F63" s="121" t="s">
        <v>618</v>
      </c>
      <c r="G63" s="121" t="s">
        <v>612</v>
      </c>
      <c r="H63" s="122">
        <v>45733</v>
      </c>
      <c r="I63" s="121" t="s">
        <v>613</v>
      </c>
    </row>
    <row r="64" spans="2:9" hidden="1" x14ac:dyDescent="0.35">
      <c r="B64" s="121" t="s">
        <v>762</v>
      </c>
      <c r="C64" s="121" t="s">
        <v>763</v>
      </c>
      <c r="D64" s="121" t="s">
        <v>764</v>
      </c>
      <c r="E64" s="121" t="s">
        <v>630</v>
      </c>
      <c r="F64" s="121" t="s">
        <v>611</v>
      </c>
      <c r="G64" s="121" t="s">
        <v>612</v>
      </c>
      <c r="H64" s="122">
        <v>45734</v>
      </c>
      <c r="I64" s="121" t="s">
        <v>613</v>
      </c>
    </row>
    <row r="65" spans="2:9" hidden="1" x14ac:dyDescent="0.35">
      <c r="B65" s="121" t="s">
        <v>765</v>
      </c>
      <c r="C65" s="121" t="s">
        <v>766</v>
      </c>
      <c r="D65" s="121" t="s">
        <v>767</v>
      </c>
      <c r="E65" s="121" t="s">
        <v>622</v>
      </c>
      <c r="F65" s="121" t="s">
        <v>618</v>
      </c>
      <c r="G65" s="121" t="s">
        <v>612</v>
      </c>
      <c r="H65" s="122">
        <v>45734</v>
      </c>
      <c r="I65" s="121" t="s">
        <v>613</v>
      </c>
    </row>
    <row r="66" spans="2:9" hidden="1" x14ac:dyDescent="0.35">
      <c r="B66" s="121" t="s">
        <v>768</v>
      </c>
      <c r="C66" s="121" t="s">
        <v>769</v>
      </c>
      <c r="D66" s="121" t="s">
        <v>675</v>
      </c>
      <c r="E66" s="121" t="s">
        <v>659</v>
      </c>
      <c r="F66" s="121" t="s">
        <v>618</v>
      </c>
      <c r="G66" s="121" t="s">
        <v>612</v>
      </c>
      <c r="H66" s="122">
        <v>45734</v>
      </c>
      <c r="I66" s="121" t="s">
        <v>613</v>
      </c>
    </row>
    <row r="67" spans="2:9" x14ac:dyDescent="0.35">
      <c r="B67" s="121" t="s">
        <v>66</v>
      </c>
      <c r="C67" s="121" t="s">
        <v>770</v>
      </c>
      <c r="D67" s="121" t="s">
        <v>686</v>
      </c>
      <c r="E67" s="121" t="s">
        <v>643</v>
      </c>
      <c r="F67" s="121" t="s">
        <v>611</v>
      </c>
      <c r="G67" s="121" t="s">
        <v>612</v>
      </c>
      <c r="H67" s="122">
        <v>45735</v>
      </c>
      <c r="I67" s="121" t="s">
        <v>613</v>
      </c>
    </row>
    <row r="68" spans="2:9" hidden="1" x14ac:dyDescent="0.35">
      <c r="B68" s="121" t="s">
        <v>771</v>
      </c>
      <c r="C68" s="121" t="s">
        <v>772</v>
      </c>
      <c r="D68" s="121" t="s">
        <v>609</v>
      </c>
      <c r="E68" s="121" t="s">
        <v>630</v>
      </c>
      <c r="F68" s="121" t="s">
        <v>611</v>
      </c>
      <c r="G68" s="121" t="s">
        <v>612</v>
      </c>
      <c r="H68" s="122">
        <v>45737</v>
      </c>
      <c r="I68" s="121" t="s">
        <v>613</v>
      </c>
    </row>
    <row r="69" spans="2:9" hidden="1" x14ac:dyDescent="0.35">
      <c r="B69" s="121" t="s">
        <v>773</v>
      </c>
      <c r="C69" s="121" t="s">
        <v>774</v>
      </c>
      <c r="D69" s="121" t="s">
        <v>633</v>
      </c>
      <c r="E69" s="121" t="s">
        <v>630</v>
      </c>
      <c r="F69" s="121" t="s">
        <v>611</v>
      </c>
      <c r="G69" s="121" t="s">
        <v>612</v>
      </c>
      <c r="H69" s="122">
        <v>45738</v>
      </c>
      <c r="I69" s="121" t="s">
        <v>613</v>
      </c>
    </row>
    <row r="70" spans="2:9" hidden="1" x14ac:dyDescent="0.35">
      <c r="B70" s="121" t="s">
        <v>775</v>
      </c>
      <c r="C70" s="121" t="s">
        <v>776</v>
      </c>
      <c r="D70" s="121" t="s">
        <v>767</v>
      </c>
      <c r="E70" s="121" t="s">
        <v>659</v>
      </c>
      <c r="F70" s="121" t="s">
        <v>618</v>
      </c>
      <c r="G70" s="121" t="s">
        <v>612</v>
      </c>
      <c r="H70" s="122">
        <v>45738</v>
      </c>
      <c r="I70" s="121" t="s">
        <v>613</v>
      </c>
    </row>
    <row r="71" spans="2:9" hidden="1" x14ac:dyDescent="0.35">
      <c r="B71" s="121" t="s">
        <v>777</v>
      </c>
      <c r="C71" s="121" t="s">
        <v>778</v>
      </c>
      <c r="D71" s="121" t="s">
        <v>779</v>
      </c>
      <c r="E71" s="121" t="s">
        <v>630</v>
      </c>
      <c r="F71" s="121" t="s">
        <v>611</v>
      </c>
      <c r="G71" s="121" t="s">
        <v>612</v>
      </c>
      <c r="H71" s="122">
        <v>45739</v>
      </c>
      <c r="I71" s="121" t="s">
        <v>613</v>
      </c>
    </row>
    <row r="72" spans="2:9" hidden="1" x14ac:dyDescent="0.35">
      <c r="B72" s="121" t="s">
        <v>780</v>
      </c>
      <c r="C72" s="121" t="s">
        <v>781</v>
      </c>
      <c r="D72" s="121" t="s">
        <v>782</v>
      </c>
      <c r="E72" s="121" t="s">
        <v>630</v>
      </c>
      <c r="F72" s="121" t="s">
        <v>611</v>
      </c>
      <c r="G72" s="121" t="s">
        <v>612</v>
      </c>
      <c r="H72" s="122">
        <v>45739</v>
      </c>
      <c r="I72" s="121" t="s">
        <v>613</v>
      </c>
    </row>
    <row r="73" spans="2:9" hidden="1" x14ac:dyDescent="0.35">
      <c r="B73" s="121" t="s">
        <v>783</v>
      </c>
      <c r="C73" s="121" t="s">
        <v>784</v>
      </c>
      <c r="D73" s="121" t="s">
        <v>785</v>
      </c>
      <c r="E73" s="121" t="s">
        <v>622</v>
      </c>
      <c r="F73" s="121" t="s">
        <v>618</v>
      </c>
      <c r="G73" s="121" t="s">
        <v>612</v>
      </c>
      <c r="H73" s="122">
        <v>45739</v>
      </c>
      <c r="I73" s="121" t="s">
        <v>613</v>
      </c>
    </row>
    <row r="74" spans="2:9" x14ac:dyDescent="0.35">
      <c r="B74" s="121" t="s">
        <v>341</v>
      </c>
      <c r="C74" s="121" t="s">
        <v>786</v>
      </c>
      <c r="D74" s="121" t="s">
        <v>787</v>
      </c>
      <c r="E74" s="121" t="s">
        <v>648</v>
      </c>
      <c r="F74" s="121" t="s">
        <v>611</v>
      </c>
      <c r="G74" s="121" t="s">
        <v>612</v>
      </c>
      <c r="H74" s="122">
        <v>45741</v>
      </c>
      <c r="I74" s="121" t="s">
        <v>613</v>
      </c>
    </row>
    <row r="75" spans="2:9" hidden="1" x14ac:dyDescent="0.35">
      <c r="B75" s="121" t="s">
        <v>788</v>
      </c>
      <c r="C75" s="121" t="s">
        <v>789</v>
      </c>
      <c r="D75" s="121" t="s">
        <v>642</v>
      </c>
      <c r="E75" s="121" t="s">
        <v>659</v>
      </c>
      <c r="F75" s="121" t="s">
        <v>618</v>
      </c>
      <c r="G75" s="121" t="s">
        <v>612</v>
      </c>
      <c r="H75" s="122">
        <v>45741</v>
      </c>
      <c r="I75" s="121" t="s">
        <v>613</v>
      </c>
    </row>
    <row r="76" spans="2:9" x14ac:dyDescent="0.35">
      <c r="B76" s="121" t="s">
        <v>152</v>
      </c>
      <c r="C76" s="121" t="s">
        <v>790</v>
      </c>
      <c r="D76" s="121" t="s">
        <v>742</v>
      </c>
      <c r="E76" s="121" t="s">
        <v>667</v>
      </c>
      <c r="F76" s="121" t="s">
        <v>611</v>
      </c>
      <c r="G76" s="121" t="s">
        <v>612</v>
      </c>
      <c r="H76" s="122">
        <v>45744</v>
      </c>
      <c r="I76" s="121" t="s">
        <v>613</v>
      </c>
    </row>
    <row r="77" spans="2:9" x14ac:dyDescent="0.35">
      <c r="B77" s="121" t="s">
        <v>289</v>
      </c>
      <c r="C77" s="121" t="s">
        <v>791</v>
      </c>
      <c r="D77" s="121" t="s">
        <v>792</v>
      </c>
      <c r="E77" s="121" t="s">
        <v>667</v>
      </c>
      <c r="F77" s="121" t="s">
        <v>611</v>
      </c>
      <c r="G77" s="121" t="s">
        <v>612</v>
      </c>
      <c r="H77" s="122">
        <v>45745</v>
      </c>
      <c r="I77" s="121" t="s">
        <v>613</v>
      </c>
    </row>
    <row r="78" spans="2:9" x14ac:dyDescent="0.35">
      <c r="B78" s="121" t="s">
        <v>121</v>
      </c>
      <c r="C78" s="121" t="s">
        <v>793</v>
      </c>
      <c r="D78" s="121" t="s">
        <v>633</v>
      </c>
      <c r="E78" s="121" t="s">
        <v>733</v>
      </c>
      <c r="F78" s="121" t="s">
        <v>611</v>
      </c>
      <c r="G78" s="121" t="s">
        <v>612</v>
      </c>
      <c r="H78" s="122">
        <v>45751</v>
      </c>
      <c r="I78" s="121" t="s">
        <v>613</v>
      </c>
    </row>
    <row r="79" spans="2:9" x14ac:dyDescent="0.35">
      <c r="B79" s="121" t="s">
        <v>159</v>
      </c>
      <c r="C79" s="121" t="s">
        <v>794</v>
      </c>
      <c r="D79" s="121" t="s">
        <v>703</v>
      </c>
      <c r="E79" s="121" t="s">
        <v>636</v>
      </c>
      <c r="F79" s="121" t="s">
        <v>611</v>
      </c>
      <c r="G79" s="121" t="s">
        <v>612</v>
      </c>
      <c r="H79" s="122">
        <v>45752</v>
      </c>
      <c r="I79" s="121" t="s">
        <v>613</v>
      </c>
    </row>
    <row r="80" spans="2:9" x14ac:dyDescent="0.35">
      <c r="B80" s="121" t="s">
        <v>91</v>
      </c>
      <c r="C80" s="121" t="s">
        <v>795</v>
      </c>
      <c r="D80" s="121" t="s">
        <v>728</v>
      </c>
      <c r="E80" s="121" t="s">
        <v>636</v>
      </c>
      <c r="F80" s="121" t="s">
        <v>611</v>
      </c>
      <c r="G80" s="121" t="s">
        <v>612</v>
      </c>
      <c r="H80" s="122">
        <v>45753</v>
      </c>
      <c r="I80" s="121" t="s">
        <v>613</v>
      </c>
    </row>
    <row r="81" spans="2:9" x14ac:dyDescent="0.35">
      <c r="B81" s="121" t="s">
        <v>233</v>
      </c>
      <c r="C81" s="121" t="s">
        <v>796</v>
      </c>
      <c r="D81" s="121" t="s">
        <v>703</v>
      </c>
      <c r="E81" s="121" t="s">
        <v>636</v>
      </c>
      <c r="F81" s="121" t="s">
        <v>611</v>
      </c>
      <c r="G81" s="121" t="s">
        <v>612</v>
      </c>
      <c r="H81" s="122">
        <v>45753</v>
      </c>
      <c r="I81" s="121" t="s">
        <v>613</v>
      </c>
    </row>
    <row r="82" spans="2:9" x14ac:dyDescent="0.35">
      <c r="B82" s="121" t="s">
        <v>204</v>
      </c>
      <c r="C82" s="121" t="s">
        <v>797</v>
      </c>
      <c r="D82" s="121" t="s">
        <v>798</v>
      </c>
      <c r="E82" s="121" t="s">
        <v>643</v>
      </c>
      <c r="F82" s="121" t="s">
        <v>611</v>
      </c>
      <c r="G82" s="121" t="s">
        <v>612</v>
      </c>
      <c r="H82" s="122">
        <v>45754</v>
      </c>
      <c r="I82" s="121" t="s">
        <v>613</v>
      </c>
    </row>
    <row r="83" spans="2:9" x14ac:dyDescent="0.35">
      <c r="B83" s="121" t="s">
        <v>123</v>
      </c>
      <c r="C83" s="121" t="s">
        <v>799</v>
      </c>
      <c r="D83" s="121" t="s">
        <v>732</v>
      </c>
      <c r="E83" s="121" t="s">
        <v>648</v>
      </c>
      <c r="F83" s="121" t="s">
        <v>611</v>
      </c>
      <c r="G83" s="121" t="s">
        <v>612</v>
      </c>
      <c r="H83" s="122">
        <v>45754</v>
      </c>
      <c r="I83" s="121" t="s">
        <v>613</v>
      </c>
    </row>
    <row r="84" spans="2:9" hidden="1" x14ac:dyDescent="0.35">
      <c r="B84" s="121" t="s">
        <v>800</v>
      </c>
      <c r="C84" s="121" t="s">
        <v>801</v>
      </c>
      <c r="D84" s="121" t="s">
        <v>802</v>
      </c>
      <c r="E84" s="121" t="s">
        <v>659</v>
      </c>
      <c r="F84" s="121" t="s">
        <v>618</v>
      </c>
      <c r="G84" s="121" t="s">
        <v>612</v>
      </c>
      <c r="H84" s="122">
        <v>45754</v>
      </c>
      <c r="I84" s="121" t="s">
        <v>613</v>
      </c>
    </row>
    <row r="85" spans="2:9" x14ac:dyDescent="0.35">
      <c r="B85" s="121" t="s">
        <v>519</v>
      </c>
      <c r="C85" s="121" t="s">
        <v>803</v>
      </c>
      <c r="D85" s="121" t="s">
        <v>804</v>
      </c>
      <c r="E85" s="121" t="s">
        <v>643</v>
      </c>
      <c r="F85" s="121" t="s">
        <v>611</v>
      </c>
      <c r="G85" s="121" t="s">
        <v>612</v>
      </c>
      <c r="H85" s="122">
        <v>45758</v>
      </c>
      <c r="I85" s="121" t="s">
        <v>613</v>
      </c>
    </row>
    <row r="86" spans="2:9" x14ac:dyDescent="0.35">
      <c r="B86" s="121" t="s">
        <v>117</v>
      </c>
      <c r="C86" s="121" t="s">
        <v>805</v>
      </c>
      <c r="D86" s="121" t="s">
        <v>806</v>
      </c>
      <c r="E86" s="121" t="s">
        <v>643</v>
      </c>
      <c r="F86" s="121" t="s">
        <v>611</v>
      </c>
      <c r="G86" s="121" t="s">
        <v>612</v>
      </c>
      <c r="H86" s="122">
        <v>45758</v>
      </c>
      <c r="I86" s="121" t="s">
        <v>613</v>
      </c>
    </row>
    <row r="87" spans="2:9" x14ac:dyDescent="0.35">
      <c r="B87" s="121" t="s">
        <v>411</v>
      </c>
      <c r="C87" s="121" t="s">
        <v>807</v>
      </c>
      <c r="D87" s="121" t="s">
        <v>808</v>
      </c>
      <c r="E87" s="121" t="s">
        <v>648</v>
      </c>
      <c r="F87" s="121" t="s">
        <v>611</v>
      </c>
      <c r="G87" s="121" t="s">
        <v>612</v>
      </c>
      <c r="H87" s="122">
        <v>45758</v>
      </c>
      <c r="I87" s="121" t="s">
        <v>613</v>
      </c>
    </row>
    <row r="88" spans="2:9" x14ac:dyDescent="0.35">
      <c r="B88" s="121" t="s">
        <v>531</v>
      </c>
      <c r="C88" s="121" t="s">
        <v>809</v>
      </c>
      <c r="D88" s="121" t="s">
        <v>810</v>
      </c>
      <c r="E88" s="121" t="s">
        <v>643</v>
      </c>
      <c r="F88" s="121" t="s">
        <v>611</v>
      </c>
      <c r="G88" s="121" t="s">
        <v>612</v>
      </c>
      <c r="H88" s="122">
        <v>45761</v>
      </c>
      <c r="I88" s="121" t="s">
        <v>613</v>
      </c>
    </row>
    <row r="89" spans="2:9" x14ac:dyDescent="0.35">
      <c r="B89" s="121" t="s">
        <v>811</v>
      </c>
      <c r="C89" s="121" t="s">
        <v>812</v>
      </c>
      <c r="D89" s="121" t="s">
        <v>665</v>
      </c>
      <c r="E89" s="121" t="s">
        <v>643</v>
      </c>
      <c r="F89" s="121" t="s">
        <v>611</v>
      </c>
      <c r="G89" s="121" t="s">
        <v>612</v>
      </c>
      <c r="H89" s="122">
        <v>45763</v>
      </c>
      <c r="I89" s="121" t="s">
        <v>613</v>
      </c>
    </row>
    <row r="90" spans="2:9" x14ac:dyDescent="0.35">
      <c r="B90" s="121" t="s">
        <v>155</v>
      </c>
      <c r="C90" s="121" t="s">
        <v>813</v>
      </c>
      <c r="D90" s="121" t="s">
        <v>814</v>
      </c>
      <c r="E90" s="121" t="s">
        <v>648</v>
      </c>
      <c r="F90" s="121" t="s">
        <v>611</v>
      </c>
      <c r="G90" s="121" t="s">
        <v>612</v>
      </c>
      <c r="H90" s="122">
        <v>45763</v>
      </c>
      <c r="I90" s="121" t="s">
        <v>613</v>
      </c>
    </row>
    <row r="91" spans="2:9" x14ac:dyDescent="0.35">
      <c r="B91" s="121" t="s">
        <v>309</v>
      </c>
      <c r="C91" s="121" t="s">
        <v>815</v>
      </c>
      <c r="D91" s="121" t="s">
        <v>707</v>
      </c>
      <c r="E91" s="121" t="s">
        <v>648</v>
      </c>
      <c r="F91" s="121" t="s">
        <v>611</v>
      </c>
      <c r="G91" s="121" t="s">
        <v>612</v>
      </c>
      <c r="H91" s="122">
        <v>45764</v>
      </c>
      <c r="I91" s="121" t="s">
        <v>613</v>
      </c>
    </row>
    <row r="92" spans="2:9" x14ac:dyDescent="0.35">
      <c r="B92" s="121" t="s">
        <v>370</v>
      </c>
      <c r="C92" s="121" t="s">
        <v>816</v>
      </c>
      <c r="D92" s="121" t="s">
        <v>728</v>
      </c>
      <c r="E92" s="121" t="s">
        <v>648</v>
      </c>
      <c r="F92" s="121" t="s">
        <v>611</v>
      </c>
      <c r="G92" s="121" t="s">
        <v>612</v>
      </c>
      <c r="H92" s="122">
        <v>45764</v>
      </c>
      <c r="I92" s="121" t="s">
        <v>613</v>
      </c>
    </row>
    <row r="93" spans="2:9" hidden="1" x14ac:dyDescent="0.35">
      <c r="B93" s="121" t="s">
        <v>817</v>
      </c>
      <c r="C93" s="121" t="s">
        <v>818</v>
      </c>
      <c r="D93" s="121" t="s">
        <v>639</v>
      </c>
      <c r="E93" s="121" t="s">
        <v>622</v>
      </c>
      <c r="F93" s="121" t="s">
        <v>618</v>
      </c>
      <c r="G93" s="121" t="s">
        <v>612</v>
      </c>
      <c r="H93" s="122">
        <v>45766</v>
      </c>
      <c r="I93" s="121" t="s">
        <v>613</v>
      </c>
    </row>
    <row r="94" spans="2:9" hidden="1" x14ac:dyDescent="0.35">
      <c r="B94" s="121" t="s">
        <v>819</v>
      </c>
      <c r="C94" s="121" t="s">
        <v>820</v>
      </c>
      <c r="D94" s="121" t="s">
        <v>720</v>
      </c>
      <c r="E94" s="121" t="s">
        <v>622</v>
      </c>
      <c r="F94" s="121" t="s">
        <v>618</v>
      </c>
      <c r="G94" s="121" t="s">
        <v>612</v>
      </c>
      <c r="H94" s="122">
        <v>45766</v>
      </c>
      <c r="I94" s="121" t="s">
        <v>613</v>
      </c>
    </row>
    <row r="95" spans="2:9" hidden="1" x14ac:dyDescent="0.35">
      <c r="B95" s="121" t="s">
        <v>821</v>
      </c>
      <c r="C95" s="121" t="s">
        <v>822</v>
      </c>
      <c r="D95" s="121" t="s">
        <v>823</v>
      </c>
      <c r="E95" s="121" t="s">
        <v>659</v>
      </c>
      <c r="F95" s="121" t="s">
        <v>618</v>
      </c>
      <c r="G95" s="121" t="s">
        <v>612</v>
      </c>
      <c r="H95" s="122">
        <v>45766</v>
      </c>
      <c r="I95" s="121" t="s">
        <v>613</v>
      </c>
    </row>
    <row r="96" spans="2:9" x14ac:dyDescent="0.35">
      <c r="B96" s="121" t="s">
        <v>179</v>
      </c>
      <c r="C96" s="121" t="s">
        <v>824</v>
      </c>
      <c r="D96" s="121" t="s">
        <v>825</v>
      </c>
      <c r="E96" s="121" t="s">
        <v>643</v>
      </c>
      <c r="F96" s="121" t="s">
        <v>611</v>
      </c>
      <c r="G96" s="121" t="s">
        <v>612</v>
      </c>
      <c r="H96" s="122">
        <v>45780</v>
      </c>
      <c r="I96" s="121" t="s">
        <v>613</v>
      </c>
    </row>
    <row r="97" spans="2:9" x14ac:dyDescent="0.35">
      <c r="B97" s="121" t="s">
        <v>576</v>
      </c>
      <c r="C97" s="121" t="s">
        <v>826</v>
      </c>
      <c r="D97" s="121" t="s">
        <v>633</v>
      </c>
      <c r="E97" s="121" t="s">
        <v>733</v>
      </c>
      <c r="F97" s="121" t="s">
        <v>611</v>
      </c>
      <c r="G97" s="121" t="s">
        <v>612</v>
      </c>
      <c r="H97" s="122">
        <v>45780</v>
      </c>
      <c r="I97" s="121" t="s">
        <v>613</v>
      </c>
    </row>
    <row r="98" spans="2:9" x14ac:dyDescent="0.35">
      <c r="B98" s="121" t="s">
        <v>213</v>
      </c>
      <c r="C98" s="121" t="s">
        <v>827</v>
      </c>
      <c r="D98" s="121" t="s">
        <v>828</v>
      </c>
      <c r="E98" s="121" t="s">
        <v>733</v>
      </c>
      <c r="F98" s="121" t="s">
        <v>611</v>
      </c>
      <c r="G98" s="121" t="s">
        <v>612</v>
      </c>
      <c r="H98" s="122">
        <v>45780</v>
      </c>
      <c r="I98" s="121" t="s">
        <v>613</v>
      </c>
    </row>
    <row r="99" spans="2:9" hidden="1" x14ac:dyDescent="0.35">
      <c r="B99" s="121" t="s">
        <v>829</v>
      </c>
      <c r="C99" s="121" t="s">
        <v>830</v>
      </c>
      <c r="D99" s="121" t="s">
        <v>703</v>
      </c>
      <c r="E99" s="121" t="s">
        <v>630</v>
      </c>
      <c r="F99" s="121" t="s">
        <v>611</v>
      </c>
      <c r="G99" s="121" t="s">
        <v>612</v>
      </c>
      <c r="H99" s="122">
        <v>45780</v>
      </c>
      <c r="I99" s="121" t="s">
        <v>613</v>
      </c>
    </row>
    <row r="100" spans="2:9" hidden="1" x14ac:dyDescent="0.35">
      <c r="B100" s="121" t="s">
        <v>831</v>
      </c>
      <c r="C100" s="121" t="s">
        <v>832</v>
      </c>
      <c r="D100" s="121" t="s">
        <v>742</v>
      </c>
      <c r="E100" s="121" t="s">
        <v>630</v>
      </c>
      <c r="F100" s="121" t="s">
        <v>611</v>
      </c>
      <c r="G100" s="121" t="s">
        <v>612</v>
      </c>
      <c r="H100" s="122">
        <v>45780</v>
      </c>
      <c r="I100" s="121" t="s">
        <v>613</v>
      </c>
    </row>
    <row r="101" spans="2:9" x14ac:dyDescent="0.35">
      <c r="B101" s="121" t="s">
        <v>75</v>
      </c>
      <c r="C101" s="121" t="s">
        <v>833</v>
      </c>
      <c r="D101" s="121" t="s">
        <v>834</v>
      </c>
      <c r="E101" s="121" t="s">
        <v>648</v>
      </c>
      <c r="F101" s="121" t="s">
        <v>611</v>
      </c>
      <c r="G101" s="121" t="s">
        <v>612</v>
      </c>
      <c r="H101" s="122">
        <v>45780</v>
      </c>
      <c r="I101" s="121" t="s">
        <v>613</v>
      </c>
    </row>
    <row r="102" spans="2:9" x14ac:dyDescent="0.35">
      <c r="B102" s="121" t="s">
        <v>365</v>
      </c>
      <c r="C102" s="121" t="s">
        <v>835</v>
      </c>
      <c r="D102" s="121" t="s">
        <v>660</v>
      </c>
      <c r="E102" s="121" t="s">
        <v>648</v>
      </c>
      <c r="F102" s="121" t="s">
        <v>611</v>
      </c>
      <c r="G102" s="121" t="s">
        <v>612</v>
      </c>
      <c r="H102" s="122">
        <v>45780</v>
      </c>
      <c r="I102" s="121" t="s">
        <v>613</v>
      </c>
    </row>
    <row r="103" spans="2:9" hidden="1" x14ac:dyDescent="0.35">
      <c r="B103" s="121" t="s">
        <v>836</v>
      </c>
      <c r="C103" s="121" t="s">
        <v>837</v>
      </c>
      <c r="D103" s="121" t="s">
        <v>838</v>
      </c>
      <c r="E103" s="121" t="s">
        <v>617</v>
      </c>
      <c r="F103" s="121" t="s">
        <v>618</v>
      </c>
      <c r="G103" s="121" t="s">
        <v>612</v>
      </c>
      <c r="H103" s="122">
        <v>45781</v>
      </c>
      <c r="I103" s="121" t="s">
        <v>613</v>
      </c>
    </row>
    <row r="104" spans="2:9" x14ac:dyDescent="0.35">
      <c r="B104" s="121" t="s">
        <v>168</v>
      </c>
      <c r="C104" s="121" t="s">
        <v>839</v>
      </c>
      <c r="D104" s="121" t="s">
        <v>703</v>
      </c>
      <c r="E104" s="121" t="s">
        <v>648</v>
      </c>
      <c r="F104" s="121" t="s">
        <v>611</v>
      </c>
      <c r="G104" s="121" t="s">
        <v>612</v>
      </c>
      <c r="H104" s="122">
        <v>45785</v>
      </c>
      <c r="I104" s="121" t="s">
        <v>613</v>
      </c>
    </row>
    <row r="105" spans="2:9" x14ac:dyDescent="0.35">
      <c r="B105" s="121" t="s">
        <v>252</v>
      </c>
      <c r="C105" s="121" t="s">
        <v>840</v>
      </c>
      <c r="D105" s="121" t="s">
        <v>841</v>
      </c>
      <c r="E105" s="121" t="s">
        <v>643</v>
      </c>
      <c r="F105" s="121" t="s">
        <v>611</v>
      </c>
      <c r="G105" s="121" t="s">
        <v>612</v>
      </c>
      <c r="H105" s="122">
        <v>45788</v>
      </c>
      <c r="I105" s="121" t="s">
        <v>613</v>
      </c>
    </row>
    <row r="106" spans="2:9" x14ac:dyDescent="0.35">
      <c r="B106" s="121" t="s">
        <v>161</v>
      </c>
      <c r="C106" s="121" t="s">
        <v>842</v>
      </c>
      <c r="D106" s="121" t="s">
        <v>728</v>
      </c>
      <c r="E106" s="121" t="s">
        <v>648</v>
      </c>
      <c r="F106" s="121" t="s">
        <v>611</v>
      </c>
      <c r="G106" s="121" t="s">
        <v>612</v>
      </c>
      <c r="H106" s="122">
        <v>45788</v>
      </c>
      <c r="I106" s="121" t="s">
        <v>613</v>
      </c>
    </row>
    <row r="107" spans="2:9" hidden="1" x14ac:dyDescent="0.35">
      <c r="B107" s="121" t="s">
        <v>843</v>
      </c>
      <c r="C107" s="121" t="s">
        <v>844</v>
      </c>
      <c r="D107" s="121" t="s">
        <v>661</v>
      </c>
      <c r="E107" s="121" t="s">
        <v>617</v>
      </c>
      <c r="F107" s="121" t="s">
        <v>618</v>
      </c>
      <c r="G107" s="121" t="s">
        <v>612</v>
      </c>
      <c r="H107" s="122">
        <v>45792</v>
      </c>
      <c r="I107" s="121" t="s">
        <v>613</v>
      </c>
    </row>
    <row r="108" spans="2:9" x14ac:dyDescent="0.35">
      <c r="B108" s="121" t="s">
        <v>534</v>
      </c>
      <c r="C108" s="121" t="s">
        <v>845</v>
      </c>
      <c r="D108" s="121" t="s">
        <v>647</v>
      </c>
      <c r="E108" s="121" t="s">
        <v>643</v>
      </c>
      <c r="F108" s="121" t="s">
        <v>611</v>
      </c>
      <c r="G108" s="121" t="s">
        <v>612</v>
      </c>
      <c r="H108" s="122">
        <v>45793</v>
      </c>
      <c r="I108" s="121" t="s">
        <v>613</v>
      </c>
    </row>
    <row r="109" spans="2:9" x14ac:dyDescent="0.35">
      <c r="B109" s="121" t="s">
        <v>133</v>
      </c>
      <c r="C109" s="121" t="s">
        <v>846</v>
      </c>
      <c r="D109" s="121" t="s">
        <v>616</v>
      </c>
      <c r="E109" s="121" t="s">
        <v>648</v>
      </c>
      <c r="F109" s="121" t="s">
        <v>611</v>
      </c>
      <c r="G109" s="121" t="s">
        <v>612</v>
      </c>
      <c r="H109" s="122">
        <v>45794</v>
      </c>
      <c r="I109" s="121" t="s">
        <v>613</v>
      </c>
    </row>
    <row r="110" spans="2:9" x14ac:dyDescent="0.35">
      <c r="B110" s="121" t="s">
        <v>118</v>
      </c>
      <c r="C110" s="121" t="s">
        <v>847</v>
      </c>
      <c r="D110" s="121" t="s">
        <v>848</v>
      </c>
      <c r="E110" s="121" t="s">
        <v>643</v>
      </c>
      <c r="F110" s="121" t="s">
        <v>611</v>
      </c>
      <c r="G110" s="121" t="s">
        <v>612</v>
      </c>
      <c r="H110" s="122">
        <v>45795</v>
      </c>
      <c r="I110" s="121" t="s">
        <v>613</v>
      </c>
    </row>
    <row r="111" spans="2:9" x14ac:dyDescent="0.35">
      <c r="B111" s="121" t="s">
        <v>347</v>
      </c>
      <c r="C111" s="121" t="s">
        <v>815</v>
      </c>
      <c r="D111" s="121" t="s">
        <v>849</v>
      </c>
      <c r="E111" s="121" t="s">
        <v>648</v>
      </c>
      <c r="F111" s="121" t="s">
        <v>611</v>
      </c>
      <c r="G111" s="121" t="s">
        <v>612</v>
      </c>
      <c r="H111" s="122">
        <v>45795</v>
      </c>
      <c r="I111" s="121" t="s">
        <v>613</v>
      </c>
    </row>
    <row r="112" spans="2:9" hidden="1" x14ac:dyDescent="0.35">
      <c r="B112" s="121" t="s">
        <v>850</v>
      </c>
      <c r="C112" s="121" t="s">
        <v>851</v>
      </c>
      <c r="D112" s="121" t="s">
        <v>852</v>
      </c>
      <c r="E112" s="121" t="s">
        <v>630</v>
      </c>
      <c r="F112" s="121" t="s">
        <v>611</v>
      </c>
      <c r="G112" s="121" t="s">
        <v>612</v>
      </c>
      <c r="H112" s="122">
        <v>45796</v>
      </c>
      <c r="I112" s="121" t="s">
        <v>613</v>
      </c>
    </row>
    <row r="113" spans="2:9" hidden="1" x14ac:dyDescent="0.35">
      <c r="B113" s="121" t="s">
        <v>853</v>
      </c>
      <c r="C113" s="121" t="s">
        <v>854</v>
      </c>
      <c r="D113" s="121" t="s">
        <v>855</v>
      </c>
      <c r="E113" s="121" t="s">
        <v>622</v>
      </c>
      <c r="F113" s="121" t="s">
        <v>618</v>
      </c>
      <c r="G113" s="121" t="s">
        <v>612</v>
      </c>
      <c r="H113" s="122">
        <v>45796</v>
      </c>
      <c r="I113" s="121" t="s">
        <v>613</v>
      </c>
    </row>
    <row r="114" spans="2:9" x14ac:dyDescent="0.35">
      <c r="B114" s="121" t="s">
        <v>125</v>
      </c>
      <c r="C114" s="121" t="s">
        <v>856</v>
      </c>
      <c r="D114" s="121" t="s">
        <v>629</v>
      </c>
      <c r="E114" s="121" t="s">
        <v>733</v>
      </c>
      <c r="F114" s="121" t="s">
        <v>611</v>
      </c>
      <c r="G114" s="121" t="s">
        <v>612</v>
      </c>
      <c r="H114" s="122">
        <v>45797</v>
      </c>
      <c r="I114" s="121" t="s">
        <v>613</v>
      </c>
    </row>
    <row r="115" spans="2:9" x14ac:dyDescent="0.35">
      <c r="B115" s="121" t="s">
        <v>329</v>
      </c>
      <c r="C115" s="121" t="s">
        <v>857</v>
      </c>
      <c r="D115" s="121" t="s">
        <v>858</v>
      </c>
      <c r="E115" s="121" t="s">
        <v>648</v>
      </c>
      <c r="F115" s="121" t="s">
        <v>611</v>
      </c>
      <c r="G115" s="121" t="s">
        <v>612</v>
      </c>
      <c r="H115" s="122">
        <v>45800</v>
      </c>
      <c r="I115" s="121" t="s">
        <v>613</v>
      </c>
    </row>
    <row r="116" spans="2:9" hidden="1" x14ac:dyDescent="0.35">
      <c r="B116" s="121" t="s">
        <v>859</v>
      </c>
      <c r="C116" s="121" t="s">
        <v>860</v>
      </c>
      <c r="D116" s="121" t="s">
        <v>609</v>
      </c>
      <c r="E116" s="121" t="s">
        <v>622</v>
      </c>
      <c r="F116" s="121" t="s">
        <v>618</v>
      </c>
      <c r="G116" s="121" t="s">
        <v>612</v>
      </c>
      <c r="H116" s="122">
        <v>45800</v>
      </c>
      <c r="I116" s="121" t="s">
        <v>613</v>
      </c>
    </row>
    <row r="117" spans="2:9" hidden="1" x14ac:dyDescent="0.35">
      <c r="B117" s="121" t="s">
        <v>861</v>
      </c>
      <c r="C117" s="121" t="s">
        <v>862</v>
      </c>
      <c r="D117" s="121" t="s">
        <v>863</v>
      </c>
      <c r="E117" s="121" t="s">
        <v>659</v>
      </c>
      <c r="F117" s="121" t="s">
        <v>618</v>
      </c>
      <c r="G117" s="121" t="s">
        <v>640</v>
      </c>
      <c r="H117" s="122">
        <v>45800</v>
      </c>
      <c r="I117" s="121" t="s">
        <v>613</v>
      </c>
    </row>
    <row r="118" spans="2:9" hidden="1" x14ac:dyDescent="0.35">
      <c r="B118" s="121" t="s">
        <v>864</v>
      </c>
      <c r="C118" s="121" t="s">
        <v>865</v>
      </c>
      <c r="D118" s="121" t="s">
        <v>866</v>
      </c>
      <c r="E118" s="121" t="s">
        <v>622</v>
      </c>
      <c r="F118" s="121" t="s">
        <v>618</v>
      </c>
      <c r="G118" s="121" t="s">
        <v>612</v>
      </c>
      <c r="H118" s="122">
        <v>45803</v>
      </c>
      <c r="I118" s="121" t="s">
        <v>613</v>
      </c>
    </row>
    <row r="119" spans="2:9" hidden="1" x14ac:dyDescent="0.35">
      <c r="B119" s="121" t="s">
        <v>867</v>
      </c>
      <c r="C119" s="121" t="s">
        <v>868</v>
      </c>
      <c r="D119" s="121" t="s">
        <v>869</v>
      </c>
      <c r="E119" s="121" t="s">
        <v>691</v>
      </c>
      <c r="F119" s="121" t="s">
        <v>618</v>
      </c>
      <c r="G119" s="121" t="s">
        <v>612</v>
      </c>
      <c r="H119" s="122">
        <v>45808</v>
      </c>
      <c r="I119" s="121" t="s">
        <v>613</v>
      </c>
    </row>
    <row r="120" spans="2:9" x14ac:dyDescent="0.35">
      <c r="B120" s="121" t="s">
        <v>301</v>
      </c>
      <c r="C120" s="121" t="s">
        <v>609</v>
      </c>
      <c r="D120" s="121" t="s">
        <v>707</v>
      </c>
      <c r="E120" s="121" t="s">
        <v>667</v>
      </c>
      <c r="F120" s="121" t="s">
        <v>611</v>
      </c>
      <c r="G120" s="121" t="s">
        <v>612</v>
      </c>
      <c r="H120" s="122">
        <v>45810</v>
      </c>
      <c r="I120" s="121" t="s">
        <v>613</v>
      </c>
    </row>
    <row r="121" spans="2:9" hidden="1" x14ac:dyDescent="0.35">
      <c r="B121" s="121" t="s">
        <v>870</v>
      </c>
      <c r="C121" s="121" t="s">
        <v>871</v>
      </c>
      <c r="D121" s="121" t="s">
        <v>872</v>
      </c>
      <c r="E121" s="121" t="s">
        <v>626</v>
      </c>
      <c r="F121" s="121" t="s">
        <v>611</v>
      </c>
      <c r="G121" s="121" t="s">
        <v>612</v>
      </c>
      <c r="H121" s="122">
        <v>45814</v>
      </c>
      <c r="I121" s="121" t="s">
        <v>613</v>
      </c>
    </row>
    <row r="122" spans="2:9" hidden="1" x14ac:dyDescent="0.35">
      <c r="B122" s="121" t="s">
        <v>873</v>
      </c>
      <c r="C122" s="121" t="s">
        <v>874</v>
      </c>
      <c r="D122" s="121" t="s">
        <v>875</v>
      </c>
      <c r="E122" s="121" t="s">
        <v>659</v>
      </c>
      <c r="F122" s="121" t="s">
        <v>618</v>
      </c>
      <c r="G122" s="121" t="s">
        <v>612</v>
      </c>
      <c r="H122" s="122">
        <v>45815</v>
      </c>
      <c r="I122" s="121" t="s">
        <v>613</v>
      </c>
    </row>
    <row r="123" spans="2:9" hidden="1" x14ac:dyDescent="0.35">
      <c r="B123" s="121" t="s">
        <v>876</v>
      </c>
      <c r="C123" s="121" t="s">
        <v>877</v>
      </c>
      <c r="D123" s="121" t="s">
        <v>841</v>
      </c>
      <c r="E123" s="121" t="s">
        <v>626</v>
      </c>
      <c r="F123" s="121" t="s">
        <v>611</v>
      </c>
      <c r="G123" s="121" t="s">
        <v>612</v>
      </c>
      <c r="H123" s="122">
        <v>45820</v>
      </c>
      <c r="I123" s="121" t="s">
        <v>613</v>
      </c>
    </row>
    <row r="124" spans="2:9" x14ac:dyDescent="0.35">
      <c r="B124" s="121" t="s">
        <v>90</v>
      </c>
      <c r="C124" s="121" t="s">
        <v>878</v>
      </c>
      <c r="D124" s="121" t="s">
        <v>879</v>
      </c>
      <c r="E124" s="121" t="s">
        <v>643</v>
      </c>
      <c r="F124" s="121" t="s">
        <v>611</v>
      </c>
      <c r="G124" s="121" t="s">
        <v>612</v>
      </c>
      <c r="H124" s="122">
        <v>45820</v>
      </c>
      <c r="I124" s="121" t="s">
        <v>613</v>
      </c>
    </row>
    <row r="125" spans="2:9" hidden="1" x14ac:dyDescent="0.35">
      <c r="B125" s="121" t="s">
        <v>880</v>
      </c>
      <c r="C125" s="121" t="s">
        <v>881</v>
      </c>
      <c r="D125" s="121" t="s">
        <v>633</v>
      </c>
      <c r="E125" s="121" t="s">
        <v>626</v>
      </c>
      <c r="F125" s="121" t="s">
        <v>611</v>
      </c>
      <c r="G125" s="121" t="s">
        <v>612</v>
      </c>
      <c r="H125" s="122">
        <v>45822</v>
      </c>
      <c r="I125" s="121" t="s">
        <v>613</v>
      </c>
    </row>
    <row r="126" spans="2:9" hidden="1" x14ac:dyDescent="0.35">
      <c r="B126" s="121" t="s">
        <v>882</v>
      </c>
      <c r="C126" s="121" t="s">
        <v>883</v>
      </c>
      <c r="D126" s="121" t="s">
        <v>779</v>
      </c>
      <c r="E126" s="121" t="s">
        <v>626</v>
      </c>
      <c r="F126" s="121" t="s">
        <v>611</v>
      </c>
      <c r="G126" s="121" t="s">
        <v>612</v>
      </c>
      <c r="H126" s="122">
        <v>45829</v>
      </c>
      <c r="I126" s="121" t="s">
        <v>613</v>
      </c>
    </row>
    <row r="127" spans="2:9" hidden="1" x14ac:dyDescent="0.35">
      <c r="B127" s="121" t="s">
        <v>884</v>
      </c>
      <c r="C127" s="121" t="s">
        <v>885</v>
      </c>
      <c r="D127" s="121" t="s">
        <v>660</v>
      </c>
      <c r="E127" s="121" t="s">
        <v>617</v>
      </c>
      <c r="F127" s="121" t="s">
        <v>618</v>
      </c>
      <c r="G127" s="121" t="s">
        <v>612</v>
      </c>
      <c r="H127" s="122">
        <v>45829</v>
      </c>
      <c r="I127" s="121" t="s">
        <v>613</v>
      </c>
    </row>
    <row r="128" spans="2:9" x14ac:dyDescent="0.35">
      <c r="B128" s="121" t="s">
        <v>886</v>
      </c>
      <c r="C128" s="121" t="s">
        <v>887</v>
      </c>
      <c r="D128" s="121" t="s">
        <v>660</v>
      </c>
      <c r="E128" s="121" t="s">
        <v>667</v>
      </c>
      <c r="F128" s="121" t="s">
        <v>611</v>
      </c>
      <c r="G128" s="121" t="s">
        <v>612</v>
      </c>
      <c r="H128" s="122">
        <v>45829</v>
      </c>
      <c r="I128" s="121" t="s">
        <v>613</v>
      </c>
    </row>
    <row r="129" spans="2:9" hidden="1" x14ac:dyDescent="0.35">
      <c r="B129" s="121" t="s">
        <v>888</v>
      </c>
      <c r="C129" s="121" t="s">
        <v>889</v>
      </c>
      <c r="D129" s="121" t="s">
        <v>890</v>
      </c>
      <c r="E129" s="121" t="s">
        <v>622</v>
      </c>
      <c r="F129" s="121" t="s">
        <v>618</v>
      </c>
      <c r="G129" s="121" t="s">
        <v>612</v>
      </c>
      <c r="H129" s="122">
        <v>45831</v>
      </c>
      <c r="I129" s="121" t="s">
        <v>613</v>
      </c>
    </row>
    <row r="130" spans="2:9" hidden="1" x14ac:dyDescent="0.35">
      <c r="B130" s="121" t="s">
        <v>891</v>
      </c>
      <c r="C130" s="121" t="s">
        <v>892</v>
      </c>
      <c r="D130" s="121" t="s">
        <v>893</v>
      </c>
      <c r="E130" s="121" t="s">
        <v>630</v>
      </c>
      <c r="F130" s="121" t="s">
        <v>611</v>
      </c>
      <c r="G130" s="121" t="s">
        <v>612</v>
      </c>
      <c r="H130" s="122">
        <v>45834</v>
      </c>
      <c r="I130" s="121" t="s">
        <v>613</v>
      </c>
    </row>
    <row r="131" spans="2:9" hidden="1" x14ac:dyDescent="0.35">
      <c r="B131" s="121" t="s">
        <v>894</v>
      </c>
      <c r="C131" s="121" t="s">
        <v>895</v>
      </c>
      <c r="D131" s="121" t="s">
        <v>665</v>
      </c>
      <c r="E131" s="121" t="s">
        <v>617</v>
      </c>
      <c r="F131" s="121" t="s">
        <v>618</v>
      </c>
      <c r="G131" s="121" t="s">
        <v>612</v>
      </c>
      <c r="H131" s="122">
        <v>45838</v>
      </c>
      <c r="I131" s="121" t="s">
        <v>613</v>
      </c>
    </row>
    <row r="132" spans="2:9" hidden="1" x14ac:dyDescent="0.35">
      <c r="B132" s="121" t="s">
        <v>896</v>
      </c>
      <c r="C132" s="121" t="s">
        <v>897</v>
      </c>
      <c r="D132" s="121" t="s">
        <v>752</v>
      </c>
      <c r="E132" s="121" t="s">
        <v>659</v>
      </c>
      <c r="F132" s="121" t="s">
        <v>618</v>
      </c>
      <c r="G132" s="121" t="s">
        <v>640</v>
      </c>
      <c r="H132" s="122">
        <v>45839</v>
      </c>
      <c r="I132" s="121" t="s">
        <v>613</v>
      </c>
    </row>
    <row r="133" spans="2:9" hidden="1" x14ac:dyDescent="0.35">
      <c r="B133" s="121" t="s">
        <v>898</v>
      </c>
      <c r="C133" s="121" t="s">
        <v>899</v>
      </c>
      <c r="D133" s="121" t="s">
        <v>742</v>
      </c>
      <c r="E133" s="121" t="s">
        <v>622</v>
      </c>
      <c r="F133" s="121" t="s">
        <v>618</v>
      </c>
      <c r="G133" s="121" t="s">
        <v>640</v>
      </c>
      <c r="H133" s="122">
        <v>45846</v>
      </c>
      <c r="I133" s="121" t="s">
        <v>613</v>
      </c>
    </row>
    <row r="134" spans="2:9" x14ac:dyDescent="0.35">
      <c r="B134" s="121" t="s">
        <v>900</v>
      </c>
      <c r="C134" s="121" t="s">
        <v>901</v>
      </c>
      <c r="D134" s="121" t="s">
        <v>902</v>
      </c>
      <c r="E134" s="121" t="s">
        <v>667</v>
      </c>
      <c r="F134" s="121" t="s">
        <v>611</v>
      </c>
      <c r="G134" s="121" t="s">
        <v>612</v>
      </c>
      <c r="H134" s="122">
        <v>45850</v>
      </c>
      <c r="I134" s="121" t="s">
        <v>613</v>
      </c>
    </row>
    <row r="135" spans="2:9" x14ac:dyDescent="0.35">
      <c r="B135" s="121" t="s">
        <v>195</v>
      </c>
      <c r="C135" s="121" t="s">
        <v>903</v>
      </c>
      <c r="D135" s="121" t="s">
        <v>703</v>
      </c>
      <c r="E135" s="121" t="s">
        <v>643</v>
      </c>
      <c r="F135" s="121" t="s">
        <v>611</v>
      </c>
      <c r="G135" s="121" t="s">
        <v>612</v>
      </c>
      <c r="H135" s="122">
        <v>45851</v>
      </c>
      <c r="I135" s="121" t="s">
        <v>613</v>
      </c>
    </row>
    <row r="136" spans="2:9" x14ac:dyDescent="0.35">
      <c r="B136" s="121" t="s">
        <v>110</v>
      </c>
      <c r="C136" s="121" t="s">
        <v>904</v>
      </c>
      <c r="D136" s="121" t="s">
        <v>645</v>
      </c>
      <c r="E136" s="121" t="s">
        <v>636</v>
      </c>
      <c r="F136" s="121" t="s">
        <v>611</v>
      </c>
      <c r="G136" s="121" t="s">
        <v>612</v>
      </c>
      <c r="H136" s="122">
        <v>45862</v>
      </c>
      <c r="I136" s="121" t="s">
        <v>613</v>
      </c>
    </row>
    <row r="137" spans="2:9" x14ac:dyDescent="0.35">
      <c r="B137" s="121" t="s">
        <v>244</v>
      </c>
      <c r="C137" s="121" t="s">
        <v>905</v>
      </c>
      <c r="D137" s="121" t="s">
        <v>675</v>
      </c>
      <c r="E137" s="121" t="s">
        <v>643</v>
      </c>
      <c r="F137" s="121" t="s">
        <v>611</v>
      </c>
      <c r="G137" s="121" t="s">
        <v>612</v>
      </c>
      <c r="H137" s="122">
        <v>45865</v>
      </c>
      <c r="I137" s="121" t="s">
        <v>613</v>
      </c>
    </row>
    <row r="138" spans="2:9" x14ac:dyDescent="0.35">
      <c r="B138" s="121" t="s">
        <v>241</v>
      </c>
      <c r="C138" s="121" t="s">
        <v>906</v>
      </c>
      <c r="D138" s="121" t="s">
        <v>629</v>
      </c>
      <c r="E138" s="121" t="s">
        <v>643</v>
      </c>
      <c r="F138" s="121" t="s">
        <v>611</v>
      </c>
      <c r="G138" s="121" t="s">
        <v>612</v>
      </c>
      <c r="H138" s="122">
        <v>45865</v>
      </c>
      <c r="I138" s="121" t="s">
        <v>613</v>
      </c>
    </row>
    <row r="139" spans="2:9" x14ac:dyDescent="0.35">
      <c r="B139" s="121" t="s">
        <v>239</v>
      </c>
      <c r="C139" s="121" t="s">
        <v>907</v>
      </c>
      <c r="D139" s="121" t="s">
        <v>647</v>
      </c>
      <c r="E139" s="121" t="s">
        <v>643</v>
      </c>
      <c r="F139" s="121" t="s">
        <v>611</v>
      </c>
      <c r="G139" s="121" t="s">
        <v>612</v>
      </c>
      <c r="H139" s="122">
        <v>45865</v>
      </c>
      <c r="I139" s="121" t="s">
        <v>613</v>
      </c>
    </row>
    <row r="140" spans="2:9" x14ac:dyDescent="0.35">
      <c r="B140" s="121" t="s">
        <v>42</v>
      </c>
      <c r="C140" s="121" t="s">
        <v>908</v>
      </c>
      <c r="D140" s="121" t="s">
        <v>686</v>
      </c>
      <c r="E140" s="121" t="s">
        <v>643</v>
      </c>
      <c r="F140" s="121" t="s">
        <v>611</v>
      </c>
      <c r="G140" s="121" t="s">
        <v>612</v>
      </c>
      <c r="H140" s="122">
        <v>45867</v>
      </c>
      <c r="I140" s="121" t="s">
        <v>613</v>
      </c>
    </row>
    <row r="141" spans="2:9" hidden="1" x14ac:dyDescent="0.35">
      <c r="B141" s="121" t="s">
        <v>909</v>
      </c>
      <c r="C141" s="121" t="s">
        <v>910</v>
      </c>
      <c r="D141" s="121" t="s">
        <v>911</v>
      </c>
      <c r="E141" s="121" t="s">
        <v>617</v>
      </c>
      <c r="F141" s="121" t="s">
        <v>618</v>
      </c>
      <c r="G141" s="121" t="s">
        <v>612</v>
      </c>
      <c r="H141" s="122">
        <v>45870</v>
      </c>
      <c r="I141" s="121" t="s">
        <v>613</v>
      </c>
    </row>
    <row r="142" spans="2:9" hidden="1" x14ac:dyDescent="0.35">
      <c r="B142" s="121" t="s">
        <v>912</v>
      </c>
      <c r="C142" s="121" t="s">
        <v>913</v>
      </c>
      <c r="D142" s="121" t="s">
        <v>609</v>
      </c>
      <c r="E142" s="121" t="s">
        <v>617</v>
      </c>
      <c r="F142" s="121" t="s">
        <v>618</v>
      </c>
      <c r="G142" s="121" t="s">
        <v>612</v>
      </c>
      <c r="H142" s="122">
        <v>45873</v>
      </c>
      <c r="I142" s="121" t="s">
        <v>613</v>
      </c>
    </row>
    <row r="143" spans="2:9" x14ac:dyDescent="0.35">
      <c r="B143" s="121" t="s">
        <v>190</v>
      </c>
      <c r="C143" s="121" t="s">
        <v>914</v>
      </c>
      <c r="D143" s="121" t="s">
        <v>806</v>
      </c>
      <c r="E143" s="121" t="s">
        <v>667</v>
      </c>
      <c r="F143" s="121" t="s">
        <v>611</v>
      </c>
      <c r="G143" s="121" t="s">
        <v>612</v>
      </c>
      <c r="H143" s="122">
        <v>45877</v>
      </c>
      <c r="I143" s="121" t="s">
        <v>613</v>
      </c>
    </row>
    <row r="144" spans="2:9" x14ac:dyDescent="0.35">
      <c r="B144" s="121" t="s">
        <v>52</v>
      </c>
      <c r="C144" s="121" t="s">
        <v>915</v>
      </c>
      <c r="D144" s="121" t="s">
        <v>660</v>
      </c>
      <c r="E144" s="121" t="s">
        <v>643</v>
      </c>
      <c r="F144" s="121" t="s">
        <v>611</v>
      </c>
      <c r="G144" s="121" t="s">
        <v>612</v>
      </c>
      <c r="H144" s="122">
        <v>45878</v>
      </c>
      <c r="I144" s="121" t="s">
        <v>613</v>
      </c>
    </row>
    <row r="145" spans="2:9" hidden="1" x14ac:dyDescent="0.35">
      <c r="B145" s="121" t="s">
        <v>916</v>
      </c>
      <c r="C145" s="121" t="s">
        <v>917</v>
      </c>
      <c r="D145" s="121" t="s">
        <v>852</v>
      </c>
      <c r="E145" s="121" t="s">
        <v>622</v>
      </c>
      <c r="F145" s="121" t="s">
        <v>618</v>
      </c>
      <c r="G145" s="121" t="s">
        <v>640</v>
      </c>
      <c r="H145" s="122">
        <v>45885</v>
      </c>
      <c r="I145" s="121" t="s">
        <v>613</v>
      </c>
    </row>
    <row r="146" spans="2:9" hidden="1" x14ac:dyDescent="0.35">
      <c r="B146" s="121" t="s">
        <v>918</v>
      </c>
      <c r="C146" s="121" t="s">
        <v>919</v>
      </c>
      <c r="D146" s="121" t="s">
        <v>707</v>
      </c>
      <c r="E146" s="121" t="s">
        <v>617</v>
      </c>
      <c r="F146" s="121" t="s">
        <v>618</v>
      </c>
      <c r="G146" s="121" t="s">
        <v>612</v>
      </c>
      <c r="H146" s="122">
        <v>45887</v>
      </c>
      <c r="I146" s="121" t="s">
        <v>613</v>
      </c>
    </row>
    <row r="147" spans="2:9" x14ac:dyDescent="0.35">
      <c r="B147" s="121" t="s">
        <v>65</v>
      </c>
      <c r="C147" s="121" t="s">
        <v>920</v>
      </c>
      <c r="D147" s="121" t="s">
        <v>609</v>
      </c>
      <c r="E147" s="121" t="s">
        <v>648</v>
      </c>
      <c r="F147" s="121" t="s">
        <v>611</v>
      </c>
      <c r="G147" s="121" t="s">
        <v>612</v>
      </c>
      <c r="H147" s="122">
        <v>45887</v>
      </c>
      <c r="I147" s="121" t="s">
        <v>613</v>
      </c>
    </row>
    <row r="148" spans="2:9" hidden="1" x14ac:dyDescent="0.35">
      <c r="B148" s="121" t="s">
        <v>921</v>
      </c>
      <c r="C148" s="121" t="s">
        <v>922</v>
      </c>
      <c r="D148" s="121" t="s">
        <v>625</v>
      </c>
      <c r="E148" s="121" t="s">
        <v>622</v>
      </c>
      <c r="F148" s="121" t="s">
        <v>618</v>
      </c>
      <c r="G148" s="121" t="s">
        <v>612</v>
      </c>
      <c r="H148" s="122">
        <v>45893</v>
      </c>
      <c r="I148" s="121" t="s">
        <v>613</v>
      </c>
    </row>
    <row r="149" spans="2:9" x14ac:dyDescent="0.35">
      <c r="B149" s="121" t="s">
        <v>145</v>
      </c>
      <c r="C149" s="121" t="s">
        <v>923</v>
      </c>
      <c r="D149" s="121" t="s">
        <v>728</v>
      </c>
      <c r="E149" s="121" t="s">
        <v>667</v>
      </c>
      <c r="F149" s="121" t="s">
        <v>611</v>
      </c>
      <c r="G149" s="121" t="s">
        <v>612</v>
      </c>
      <c r="H149" s="122">
        <v>45897</v>
      </c>
      <c r="I149" s="121" t="s">
        <v>613</v>
      </c>
    </row>
    <row r="150" spans="2:9" hidden="1" x14ac:dyDescent="0.35">
      <c r="B150" s="121" t="s">
        <v>924</v>
      </c>
      <c r="C150" s="121" t="s">
        <v>925</v>
      </c>
      <c r="D150" s="121" t="s">
        <v>926</v>
      </c>
      <c r="E150" s="121" t="s">
        <v>691</v>
      </c>
      <c r="F150" s="121" t="s">
        <v>618</v>
      </c>
      <c r="G150" s="121" t="s">
        <v>640</v>
      </c>
      <c r="H150" s="122">
        <v>45898</v>
      </c>
      <c r="I150" s="121" t="s">
        <v>613</v>
      </c>
    </row>
    <row r="151" spans="2:9" hidden="1" x14ac:dyDescent="0.35">
      <c r="B151" s="121" t="s">
        <v>927</v>
      </c>
      <c r="C151" s="121" t="s">
        <v>928</v>
      </c>
      <c r="D151" s="121" t="s">
        <v>609</v>
      </c>
      <c r="E151" s="121" t="s">
        <v>622</v>
      </c>
      <c r="F151" s="121" t="s">
        <v>618</v>
      </c>
      <c r="G151" s="121" t="s">
        <v>612</v>
      </c>
      <c r="H151" s="122">
        <v>45898</v>
      </c>
      <c r="I151" s="121" t="s">
        <v>613</v>
      </c>
    </row>
    <row r="152" spans="2:9" hidden="1" x14ac:dyDescent="0.35">
      <c r="B152" s="121" t="s">
        <v>929</v>
      </c>
      <c r="C152" s="121" t="s">
        <v>930</v>
      </c>
      <c r="D152" s="121" t="s">
        <v>931</v>
      </c>
      <c r="E152" s="121" t="s">
        <v>622</v>
      </c>
      <c r="F152" s="121" t="s">
        <v>618</v>
      </c>
      <c r="G152" s="121" t="s">
        <v>612</v>
      </c>
      <c r="H152" s="122">
        <v>45906</v>
      </c>
      <c r="I152" s="121" t="s">
        <v>613</v>
      </c>
    </row>
    <row r="153" spans="2:9" hidden="1" x14ac:dyDescent="0.35">
      <c r="B153" s="121" t="s">
        <v>932</v>
      </c>
      <c r="C153" s="121" t="s">
        <v>933</v>
      </c>
      <c r="D153" s="121" t="s">
        <v>645</v>
      </c>
      <c r="E153" s="121" t="s">
        <v>626</v>
      </c>
      <c r="F153" s="121" t="s">
        <v>611</v>
      </c>
      <c r="G153" s="121" t="s">
        <v>612</v>
      </c>
      <c r="H153" s="122">
        <v>45907</v>
      </c>
      <c r="I153" s="121" t="s">
        <v>613</v>
      </c>
    </row>
    <row r="154" spans="2:9" hidden="1" x14ac:dyDescent="0.35">
      <c r="B154" s="121" t="s">
        <v>934</v>
      </c>
      <c r="C154" s="121" t="s">
        <v>935</v>
      </c>
      <c r="D154" s="121" t="s">
        <v>742</v>
      </c>
      <c r="E154" s="121" t="s">
        <v>630</v>
      </c>
      <c r="F154" s="121" t="s">
        <v>611</v>
      </c>
      <c r="G154" s="121" t="s">
        <v>612</v>
      </c>
      <c r="H154" s="122">
        <v>45907</v>
      </c>
      <c r="I154" s="121" t="s">
        <v>613</v>
      </c>
    </row>
    <row r="155" spans="2:9" hidden="1" x14ac:dyDescent="0.35">
      <c r="B155" s="121" t="s">
        <v>936</v>
      </c>
      <c r="C155" s="121" t="s">
        <v>937</v>
      </c>
      <c r="D155" s="121" t="s">
        <v>938</v>
      </c>
      <c r="E155" s="121" t="s">
        <v>622</v>
      </c>
      <c r="F155" s="121" t="s">
        <v>618</v>
      </c>
      <c r="G155" s="121" t="s">
        <v>612</v>
      </c>
      <c r="H155" s="122">
        <v>45908</v>
      </c>
      <c r="I155" s="121" t="s">
        <v>613</v>
      </c>
    </row>
    <row r="156" spans="2:9" x14ac:dyDescent="0.35">
      <c r="B156" s="121" t="s">
        <v>119</v>
      </c>
      <c r="C156" s="121" t="s">
        <v>939</v>
      </c>
      <c r="D156" s="121" t="s">
        <v>940</v>
      </c>
      <c r="E156" s="121" t="s">
        <v>643</v>
      </c>
      <c r="F156" s="121" t="s">
        <v>611</v>
      </c>
      <c r="G156" s="121" t="s">
        <v>612</v>
      </c>
      <c r="H156" s="122">
        <v>45912</v>
      </c>
      <c r="I156" s="121" t="s">
        <v>613</v>
      </c>
    </row>
    <row r="157" spans="2:9" hidden="1" x14ac:dyDescent="0.35">
      <c r="B157" s="121" t="s">
        <v>941</v>
      </c>
      <c r="C157" s="121" t="s">
        <v>942</v>
      </c>
      <c r="D157" s="121" t="s">
        <v>943</v>
      </c>
      <c r="E157" s="121" t="s">
        <v>617</v>
      </c>
      <c r="F157" s="121" t="s">
        <v>618</v>
      </c>
      <c r="G157" s="121" t="s">
        <v>612</v>
      </c>
      <c r="H157" s="122">
        <v>45913</v>
      </c>
      <c r="I157" s="121" t="s">
        <v>613</v>
      </c>
    </row>
    <row r="158" spans="2:9" hidden="1" x14ac:dyDescent="0.35">
      <c r="B158" s="121" t="s">
        <v>944</v>
      </c>
      <c r="C158" s="121" t="s">
        <v>945</v>
      </c>
      <c r="D158" s="121" t="s">
        <v>709</v>
      </c>
      <c r="E158" s="121" t="s">
        <v>617</v>
      </c>
      <c r="F158" s="121" t="s">
        <v>618</v>
      </c>
      <c r="G158" s="121" t="s">
        <v>612</v>
      </c>
      <c r="H158" s="122">
        <v>45914</v>
      </c>
      <c r="I158" s="121" t="s">
        <v>613</v>
      </c>
    </row>
    <row r="159" spans="2:9" x14ac:dyDescent="0.35">
      <c r="B159" s="121" t="s">
        <v>79</v>
      </c>
      <c r="C159" s="121" t="s">
        <v>946</v>
      </c>
      <c r="D159" s="121" t="s">
        <v>947</v>
      </c>
      <c r="E159" s="121" t="s">
        <v>667</v>
      </c>
      <c r="F159" s="121" t="s">
        <v>611</v>
      </c>
      <c r="G159" s="121" t="s">
        <v>612</v>
      </c>
      <c r="H159" s="122">
        <v>45919</v>
      </c>
      <c r="I159" s="121" t="s">
        <v>613</v>
      </c>
    </row>
    <row r="160" spans="2:9" hidden="1" x14ac:dyDescent="0.35">
      <c r="B160" s="121" t="s">
        <v>948</v>
      </c>
      <c r="C160" s="121" t="s">
        <v>949</v>
      </c>
      <c r="D160" s="121" t="s">
        <v>621</v>
      </c>
      <c r="E160" s="121" t="s">
        <v>659</v>
      </c>
      <c r="F160" s="121" t="s">
        <v>618</v>
      </c>
      <c r="G160" s="121" t="s">
        <v>612</v>
      </c>
      <c r="H160" s="122">
        <v>45921</v>
      </c>
      <c r="I160" s="121" t="s">
        <v>613</v>
      </c>
    </row>
    <row r="161" spans="2:9" hidden="1" x14ac:dyDescent="0.35">
      <c r="B161" s="121" t="s">
        <v>950</v>
      </c>
      <c r="C161" s="121" t="s">
        <v>951</v>
      </c>
      <c r="D161" s="121" t="s">
        <v>952</v>
      </c>
      <c r="E161" s="121" t="s">
        <v>626</v>
      </c>
      <c r="F161" s="121" t="s">
        <v>611</v>
      </c>
      <c r="G161" s="121" t="s">
        <v>612</v>
      </c>
      <c r="H161" s="122">
        <v>45922</v>
      </c>
      <c r="I161" s="121" t="s">
        <v>613</v>
      </c>
    </row>
    <row r="162" spans="2:9" x14ac:dyDescent="0.35">
      <c r="B162" s="121" t="s">
        <v>242</v>
      </c>
      <c r="C162" s="121" t="s">
        <v>953</v>
      </c>
      <c r="D162" s="121" t="s">
        <v>852</v>
      </c>
      <c r="E162" s="121" t="s">
        <v>643</v>
      </c>
      <c r="F162" s="121" t="s">
        <v>611</v>
      </c>
      <c r="G162" s="121" t="s">
        <v>612</v>
      </c>
      <c r="H162" s="122">
        <v>45923</v>
      </c>
      <c r="I162" s="121" t="s">
        <v>613</v>
      </c>
    </row>
    <row r="163" spans="2:9" x14ac:dyDescent="0.35">
      <c r="B163" s="121" t="s">
        <v>261</v>
      </c>
      <c r="C163" s="121" t="s">
        <v>954</v>
      </c>
      <c r="D163" s="121" t="s">
        <v>940</v>
      </c>
      <c r="E163" s="121" t="s">
        <v>636</v>
      </c>
      <c r="F163" s="121" t="s">
        <v>611</v>
      </c>
      <c r="G163" s="121" t="s">
        <v>612</v>
      </c>
      <c r="H163" s="122">
        <v>45926</v>
      </c>
      <c r="I163" s="121" t="s">
        <v>613</v>
      </c>
    </row>
    <row r="164" spans="2:9" x14ac:dyDescent="0.35">
      <c r="B164" s="121" t="s">
        <v>208</v>
      </c>
      <c r="C164" s="121" t="s">
        <v>955</v>
      </c>
      <c r="D164" s="121" t="s">
        <v>707</v>
      </c>
      <c r="E164" s="121" t="s">
        <v>667</v>
      </c>
      <c r="F164" s="121" t="s">
        <v>611</v>
      </c>
      <c r="G164" s="121" t="s">
        <v>612</v>
      </c>
      <c r="H164" s="122">
        <v>45926</v>
      </c>
      <c r="I164" s="121" t="s">
        <v>613</v>
      </c>
    </row>
    <row r="165" spans="2:9" x14ac:dyDescent="0.35">
      <c r="B165" s="121" t="s">
        <v>260</v>
      </c>
      <c r="C165" s="121" t="s">
        <v>956</v>
      </c>
      <c r="D165" s="121" t="s">
        <v>742</v>
      </c>
      <c r="E165" s="121" t="s">
        <v>636</v>
      </c>
      <c r="F165" s="121" t="s">
        <v>611</v>
      </c>
      <c r="G165" s="121" t="s">
        <v>612</v>
      </c>
      <c r="H165" s="122">
        <v>45927</v>
      </c>
      <c r="I165" s="121" t="s">
        <v>613</v>
      </c>
    </row>
    <row r="166" spans="2:9" hidden="1" x14ac:dyDescent="0.35">
      <c r="B166" s="121" t="s">
        <v>957</v>
      </c>
      <c r="C166" s="121" t="s">
        <v>958</v>
      </c>
      <c r="D166" s="121" t="s">
        <v>647</v>
      </c>
      <c r="E166" s="121" t="s">
        <v>622</v>
      </c>
      <c r="F166" s="121" t="s">
        <v>618</v>
      </c>
      <c r="G166" s="121" t="s">
        <v>612</v>
      </c>
      <c r="H166" s="122">
        <v>45927</v>
      </c>
      <c r="I166" s="121" t="s">
        <v>613</v>
      </c>
    </row>
    <row r="167" spans="2:9" hidden="1" x14ac:dyDescent="0.35">
      <c r="B167" s="121" t="s">
        <v>959</v>
      </c>
      <c r="C167" s="121" t="s">
        <v>960</v>
      </c>
      <c r="D167" s="121" t="s">
        <v>660</v>
      </c>
      <c r="E167" s="121" t="s">
        <v>617</v>
      </c>
      <c r="F167" s="121" t="s">
        <v>618</v>
      </c>
      <c r="G167" s="121" t="s">
        <v>612</v>
      </c>
      <c r="H167" s="122">
        <v>45929</v>
      </c>
      <c r="I167" s="121" t="s">
        <v>613</v>
      </c>
    </row>
    <row r="168" spans="2:9" hidden="1" x14ac:dyDescent="0.35">
      <c r="B168" s="121" t="s">
        <v>961</v>
      </c>
      <c r="C168" s="121" t="s">
        <v>962</v>
      </c>
      <c r="D168" s="121" t="s">
        <v>808</v>
      </c>
      <c r="E168" s="121" t="s">
        <v>622</v>
      </c>
      <c r="F168" s="121" t="s">
        <v>618</v>
      </c>
      <c r="G168" s="121" t="s">
        <v>612</v>
      </c>
      <c r="H168" s="122">
        <v>45934</v>
      </c>
      <c r="I168" s="121" t="s">
        <v>613</v>
      </c>
    </row>
    <row r="169" spans="2:9" hidden="1" x14ac:dyDescent="0.35">
      <c r="B169" s="121" t="s">
        <v>963</v>
      </c>
      <c r="C169" s="121" t="s">
        <v>964</v>
      </c>
      <c r="D169" s="121" t="s">
        <v>625</v>
      </c>
      <c r="E169" s="121" t="s">
        <v>622</v>
      </c>
      <c r="F169" s="121" t="s">
        <v>618</v>
      </c>
      <c r="G169" s="121" t="s">
        <v>612</v>
      </c>
      <c r="H169" s="122">
        <v>45935</v>
      </c>
      <c r="I169" s="121" t="s">
        <v>613</v>
      </c>
    </row>
    <row r="170" spans="2:9" x14ac:dyDescent="0.35">
      <c r="B170" s="121" t="s">
        <v>269</v>
      </c>
      <c r="C170" s="121" t="s">
        <v>965</v>
      </c>
      <c r="D170" s="121" t="s">
        <v>966</v>
      </c>
      <c r="E170" s="121" t="s">
        <v>667</v>
      </c>
      <c r="F170" s="121" t="s">
        <v>611</v>
      </c>
      <c r="G170" s="121" t="s">
        <v>612</v>
      </c>
      <c r="H170" s="122">
        <v>45946</v>
      </c>
      <c r="I170" s="121" t="s">
        <v>613</v>
      </c>
    </row>
    <row r="171" spans="2:9" x14ac:dyDescent="0.35">
      <c r="B171" s="121" t="s">
        <v>501</v>
      </c>
      <c r="C171" s="121" t="s">
        <v>967</v>
      </c>
      <c r="D171" s="121" t="s">
        <v>968</v>
      </c>
      <c r="E171" s="121" t="s">
        <v>643</v>
      </c>
      <c r="F171" s="121" t="s">
        <v>611</v>
      </c>
      <c r="G171" s="121" t="s">
        <v>612</v>
      </c>
      <c r="H171" s="122">
        <v>45954</v>
      </c>
      <c r="I171" s="121" t="s">
        <v>613</v>
      </c>
    </row>
    <row r="172" spans="2:9" x14ac:dyDescent="0.35">
      <c r="B172" s="121" t="s">
        <v>114</v>
      </c>
      <c r="C172" s="121" t="s">
        <v>969</v>
      </c>
      <c r="D172" s="121" t="s">
        <v>703</v>
      </c>
      <c r="E172" s="121" t="s">
        <v>733</v>
      </c>
      <c r="F172" s="121" t="s">
        <v>611</v>
      </c>
      <c r="G172" s="121" t="s">
        <v>612</v>
      </c>
      <c r="H172" s="122">
        <v>45954</v>
      </c>
      <c r="I172" s="121" t="s">
        <v>613</v>
      </c>
    </row>
    <row r="173" spans="2:9" x14ac:dyDescent="0.35">
      <c r="B173" s="121" t="s">
        <v>360</v>
      </c>
      <c r="C173" s="121" t="s">
        <v>970</v>
      </c>
      <c r="D173" s="121" t="s">
        <v>709</v>
      </c>
      <c r="E173" s="121" t="s">
        <v>648</v>
      </c>
      <c r="F173" s="121" t="s">
        <v>611</v>
      </c>
      <c r="G173" s="121" t="s">
        <v>612</v>
      </c>
      <c r="H173" s="122">
        <v>45960</v>
      </c>
      <c r="I173" s="121" t="s">
        <v>613</v>
      </c>
    </row>
    <row r="174" spans="2:9" hidden="1" x14ac:dyDescent="0.35">
      <c r="B174" s="121" t="s">
        <v>971</v>
      </c>
      <c r="C174" s="121" t="s">
        <v>972</v>
      </c>
      <c r="D174" s="121" t="s">
        <v>973</v>
      </c>
      <c r="E174" s="121" t="s">
        <v>630</v>
      </c>
      <c r="F174" s="121" t="s">
        <v>611</v>
      </c>
      <c r="G174" s="121" t="s">
        <v>612</v>
      </c>
      <c r="H174" s="122">
        <v>45962</v>
      </c>
      <c r="I174" s="121" t="s">
        <v>613</v>
      </c>
    </row>
    <row r="175" spans="2:9" hidden="1" x14ac:dyDescent="0.35">
      <c r="B175" s="121" t="s">
        <v>974</v>
      </c>
      <c r="C175" s="121" t="s">
        <v>975</v>
      </c>
      <c r="D175" s="121" t="s">
        <v>747</v>
      </c>
      <c r="E175" s="121" t="s">
        <v>630</v>
      </c>
      <c r="F175" s="121" t="s">
        <v>611</v>
      </c>
      <c r="G175" s="121" t="s">
        <v>612</v>
      </c>
      <c r="H175" s="122">
        <v>45964</v>
      </c>
      <c r="I175" s="121" t="s">
        <v>613</v>
      </c>
    </row>
    <row r="176" spans="2:9" x14ac:dyDescent="0.35">
      <c r="B176" s="121" t="s">
        <v>53</v>
      </c>
      <c r="C176" s="121" t="s">
        <v>976</v>
      </c>
      <c r="D176" s="121" t="s">
        <v>686</v>
      </c>
      <c r="E176" s="121" t="s">
        <v>643</v>
      </c>
      <c r="F176" s="121" t="s">
        <v>611</v>
      </c>
      <c r="G176" s="121" t="s">
        <v>612</v>
      </c>
      <c r="H176" s="122">
        <v>45965</v>
      </c>
      <c r="I176" s="121" t="s">
        <v>613</v>
      </c>
    </row>
    <row r="177" spans="2:9" hidden="1" x14ac:dyDescent="0.35">
      <c r="B177" s="121" t="s">
        <v>977</v>
      </c>
      <c r="C177" s="121" t="s">
        <v>978</v>
      </c>
      <c r="D177" s="121" t="s">
        <v>979</v>
      </c>
      <c r="E177" s="121" t="s">
        <v>617</v>
      </c>
      <c r="F177" s="121" t="s">
        <v>618</v>
      </c>
      <c r="G177" s="121" t="s">
        <v>612</v>
      </c>
      <c r="H177" s="122">
        <v>45968</v>
      </c>
      <c r="I177" s="121" t="s">
        <v>613</v>
      </c>
    </row>
    <row r="178" spans="2:9" x14ac:dyDescent="0.35">
      <c r="B178" s="121" t="s">
        <v>124</v>
      </c>
      <c r="C178" s="121" t="s">
        <v>980</v>
      </c>
      <c r="D178" s="121" t="s">
        <v>709</v>
      </c>
      <c r="E178" s="121" t="s">
        <v>636</v>
      </c>
      <c r="F178" s="121" t="s">
        <v>611</v>
      </c>
      <c r="G178" s="121" t="s">
        <v>612</v>
      </c>
      <c r="H178" s="122">
        <v>45981</v>
      </c>
      <c r="I178" s="121" t="s">
        <v>613</v>
      </c>
    </row>
    <row r="179" spans="2:9" x14ac:dyDescent="0.35">
      <c r="B179" s="121" t="s">
        <v>981</v>
      </c>
      <c r="C179" s="121" t="s">
        <v>982</v>
      </c>
      <c r="D179" s="121" t="s">
        <v>983</v>
      </c>
      <c r="E179" s="121" t="s">
        <v>667</v>
      </c>
      <c r="F179" s="121" t="s">
        <v>611</v>
      </c>
      <c r="G179" s="121" t="s">
        <v>612</v>
      </c>
      <c r="H179" s="122">
        <v>45989</v>
      </c>
      <c r="I179" s="121" t="s">
        <v>613</v>
      </c>
    </row>
    <row r="180" spans="2:9" hidden="1" x14ac:dyDescent="0.35">
      <c r="B180" s="121" t="s">
        <v>984</v>
      </c>
      <c r="C180" s="121" t="s">
        <v>985</v>
      </c>
      <c r="D180" s="121" t="s">
        <v>703</v>
      </c>
      <c r="E180" s="121" t="s">
        <v>622</v>
      </c>
      <c r="F180" s="121" t="s">
        <v>618</v>
      </c>
      <c r="G180" s="121" t="s">
        <v>612</v>
      </c>
      <c r="H180" s="122">
        <v>45993</v>
      </c>
      <c r="I180" s="121" t="s">
        <v>613</v>
      </c>
    </row>
    <row r="181" spans="2:9" x14ac:dyDescent="0.35">
      <c r="B181" s="121" t="s">
        <v>212</v>
      </c>
      <c r="C181" s="121" t="s">
        <v>986</v>
      </c>
      <c r="D181" s="121" t="s">
        <v>661</v>
      </c>
      <c r="E181" s="121" t="s">
        <v>667</v>
      </c>
      <c r="F181" s="121" t="s">
        <v>611</v>
      </c>
      <c r="G181" s="121" t="s">
        <v>612</v>
      </c>
      <c r="H181" s="122">
        <v>45997</v>
      </c>
      <c r="I181" s="121" t="s">
        <v>613</v>
      </c>
    </row>
    <row r="182" spans="2:9" hidden="1" x14ac:dyDescent="0.35">
      <c r="B182" s="123" t="s">
        <v>987</v>
      </c>
      <c r="C182" s="123" t="s">
        <v>988</v>
      </c>
      <c r="D182" s="123" t="s">
        <v>633</v>
      </c>
      <c r="E182" s="123" t="s">
        <v>630</v>
      </c>
      <c r="F182" s="123" t="s">
        <v>611</v>
      </c>
      <c r="G182" s="123" t="s">
        <v>612</v>
      </c>
      <c r="H182" s="124">
        <v>46002</v>
      </c>
      <c r="I182" s="123" t="s">
        <v>613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228"/>
  <sheetViews>
    <sheetView topLeftCell="B1" workbookViewId="0">
      <selection activeCell="I180" sqref="I180"/>
    </sheetView>
  </sheetViews>
  <sheetFormatPr defaultColWidth="11.453125" defaultRowHeight="14.5" x14ac:dyDescent="0.35"/>
  <cols>
    <col min="2" max="2" width="32.7265625" style="120" customWidth="1"/>
    <col min="3" max="3" width="43.7265625" style="120" customWidth="1"/>
    <col min="4" max="4" width="26" style="120" customWidth="1"/>
    <col min="5" max="7" width="11.453125" style="120"/>
    <col min="8" max="8" width="13.7265625" style="120" customWidth="1"/>
    <col min="9" max="10" width="11.453125" style="120"/>
    <col min="11" max="11" width="15.1796875" style="120" customWidth="1"/>
    <col min="12" max="12" width="15.81640625" style="120" customWidth="1"/>
    <col min="13" max="13" width="11.453125" style="120" customWidth="1"/>
  </cols>
  <sheetData>
    <row r="2" spans="2:13" x14ac:dyDescent="0.35">
      <c r="B2" s="101" t="s">
        <v>989</v>
      </c>
      <c r="C2" s="102" t="s">
        <v>990</v>
      </c>
      <c r="D2" s="102" t="s">
        <v>24</v>
      </c>
      <c r="E2" s="102" t="s">
        <v>15</v>
      </c>
      <c r="F2" s="102" t="s">
        <v>991</v>
      </c>
      <c r="G2" s="102" t="s">
        <v>992</v>
      </c>
      <c r="H2" s="102" t="s">
        <v>993</v>
      </c>
      <c r="I2" s="103" t="s">
        <v>994</v>
      </c>
      <c r="J2" s="102" t="s">
        <v>995</v>
      </c>
      <c r="K2" s="102" t="s">
        <v>996</v>
      </c>
      <c r="L2" s="102" t="s">
        <v>997</v>
      </c>
      <c r="M2" s="104" t="s">
        <v>998</v>
      </c>
    </row>
    <row r="3" spans="2:13" x14ac:dyDescent="0.35">
      <c r="B3" s="112" t="s">
        <v>999</v>
      </c>
      <c r="C3" s="113" t="s">
        <v>659</v>
      </c>
      <c r="D3" s="113" t="s">
        <v>1000</v>
      </c>
      <c r="E3" s="113" t="s">
        <v>656</v>
      </c>
      <c r="F3" s="113" t="s">
        <v>658</v>
      </c>
      <c r="G3" s="113" t="s">
        <v>657</v>
      </c>
      <c r="H3" s="114">
        <v>30864</v>
      </c>
      <c r="I3" s="110">
        <v>40.5</v>
      </c>
      <c r="J3" s="113" t="s">
        <v>612</v>
      </c>
      <c r="K3" s="114">
        <v>44351</v>
      </c>
      <c r="L3" s="113" t="s">
        <v>1001</v>
      </c>
      <c r="M3" s="115">
        <v>45660</v>
      </c>
    </row>
    <row r="4" spans="2:13" x14ac:dyDescent="0.35">
      <c r="B4" s="112" t="s">
        <v>1002</v>
      </c>
      <c r="C4" s="113" t="s">
        <v>667</v>
      </c>
      <c r="D4" s="113" t="s">
        <v>1000</v>
      </c>
      <c r="E4" s="113" t="s">
        <v>886</v>
      </c>
      <c r="F4" s="113" t="s">
        <v>660</v>
      </c>
      <c r="G4" s="113" t="s">
        <v>887</v>
      </c>
      <c r="H4" s="114">
        <v>24696</v>
      </c>
      <c r="I4" s="110">
        <v>57.4</v>
      </c>
      <c r="J4" s="113" t="s">
        <v>612</v>
      </c>
      <c r="K4" s="114">
        <v>44567</v>
      </c>
      <c r="L4" s="113" t="s">
        <v>48</v>
      </c>
      <c r="M4" s="115">
        <v>45663</v>
      </c>
    </row>
    <row r="5" spans="2:13" x14ac:dyDescent="0.35">
      <c r="B5" s="112" t="s">
        <v>1002</v>
      </c>
      <c r="C5" s="113" t="s">
        <v>636</v>
      </c>
      <c r="D5" s="113" t="s">
        <v>1003</v>
      </c>
      <c r="E5" s="113" t="s">
        <v>124</v>
      </c>
      <c r="F5" s="113" t="s">
        <v>709</v>
      </c>
      <c r="G5" s="113" t="s">
        <v>980</v>
      </c>
      <c r="H5" s="114">
        <v>26085</v>
      </c>
      <c r="I5" s="110">
        <v>53.6</v>
      </c>
      <c r="J5" s="113" t="s">
        <v>612</v>
      </c>
      <c r="K5" s="114">
        <v>44571</v>
      </c>
      <c r="L5" s="113" t="s">
        <v>48</v>
      </c>
      <c r="M5" s="115">
        <v>45666</v>
      </c>
    </row>
    <row r="6" spans="2:13" x14ac:dyDescent="0.35">
      <c r="B6" s="112" t="s">
        <v>1002</v>
      </c>
      <c r="C6" s="113" t="s">
        <v>636</v>
      </c>
      <c r="D6" s="113" t="s">
        <v>1004</v>
      </c>
      <c r="E6" s="113" t="s">
        <v>452</v>
      </c>
      <c r="F6" s="113" t="s">
        <v>661</v>
      </c>
      <c r="G6" s="113" t="s">
        <v>662</v>
      </c>
      <c r="H6" s="114">
        <v>29591</v>
      </c>
      <c r="I6" s="110">
        <v>43.99</v>
      </c>
      <c r="J6" s="113" t="s">
        <v>612</v>
      </c>
      <c r="K6" s="114">
        <v>44573</v>
      </c>
      <c r="L6" s="113" t="s">
        <v>48</v>
      </c>
      <c r="M6" s="115">
        <v>45668</v>
      </c>
    </row>
    <row r="7" spans="2:13" x14ac:dyDescent="0.35">
      <c r="B7" s="112" t="s">
        <v>999</v>
      </c>
      <c r="C7" s="113" t="s">
        <v>659</v>
      </c>
      <c r="D7" s="113" t="s">
        <v>1005</v>
      </c>
      <c r="E7" s="113" t="s">
        <v>1006</v>
      </c>
      <c r="F7" s="113" t="s">
        <v>742</v>
      </c>
      <c r="G7" s="113" t="s">
        <v>1007</v>
      </c>
      <c r="H7" s="114">
        <v>34884</v>
      </c>
      <c r="I7" s="110">
        <v>29.490000000000002</v>
      </c>
      <c r="J7" s="113" t="s">
        <v>640</v>
      </c>
      <c r="K7" s="114">
        <v>43843</v>
      </c>
      <c r="L7" s="113" t="s">
        <v>1001</v>
      </c>
      <c r="M7" s="115">
        <v>45668</v>
      </c>
    </row>
    <row r="8" spans="2:13" x14ac:dyDescent="0.35">
      <c r="B8" s="112" t="s">
        <v>1008</v>
      </c>
      <c r="C8" s="113" t="s">
        <v>626</v>
      </c>
      <c r="D8" s="113" t="s">
        <v>1009</v>
      </c>
      <c r="E8" s="113" t="s">
        <v>631</v>
      </c>
      <c r="F8" s="113" t="s">
        <v>633</v>
      </c>
      <c r="G8" s="113" t="s">
        <v>632</v>
      </c>
      <c r="H8" s="114">
        <v>28758</v>
      </c>
      <c r="I8" s="110">
        <v>46.27</v>
      </c>
      <c r="J8" s="113" t="s">
        <v>612</v>
      </c>
      <c r="K8" s="114">
        <v>44574</v>
      </c>
      <c r="L8" s="113" t="s">
        <v>48</v>
      </c>
      <c r="M8" s="115">
        <v>45669</v>
      </c>
    </row>
    <row r="9" spans="2:13" x14ac:dyDescent="0.35">
      <c r="B9" s="112" t="s">
        <v>1008</v>
      </c>
      <c r="C9" s="113" t="s">
        <v>626</v>
      </c>
      <c r="D9" s="113" t="s">
        <v>1009</v>
      </c>
      <c r="E9" s="113" t="s">
        <v>880</v>
      </c>
      <c r="F9" s="113" t="s">
        <v>633</v>
      </c>
      <c r="G9" s="113" t="s">
        <v>881</v>
      </c>
      <c r="H9" s="114">
        <v>27576</v>
      </c>
      <c r="I9" s="110">
        <v>49.51</v>
      </c>
      <c r="J9" s="113" t="s">
        <v>612</v>
      </c>
      <c r="K9" s="114">
        <v>44574</v>
      </c>
      <c r="L9" s="113" t="s">
        <v>48</v>
      </c>
      <c r="M9" s="115">
        <v>45669</v>
      </c>
    </row>
    <row r="10" spans="2:13" x14ac:dyDescent="0.35">
      <c r="B10" s="112" t="s">
        <v>1002</v>
      </c>
      <c r="C10" s="113" t="s">
        <v>643</v>
      </c>
      <c r="D10" s="113" t="s">
        <v>1000</v>
      </c>
      <c r="E10" s="113" t="s">
        <v>251</v>
      </c>
      <c r="F10" s="113" t="s">
        <v>645</v>
      </c>
      <c r="G10" s="113" t="s">
        <v>644</v>
      </c>
      <c r="H10" s="114">
        <v>33464</v>
      </c>
      <c r="I10" s="110">
        <v>33.380000000000003</v>
      </c>
      <c r="J10" s="113" t="s">
        <v>612</v>
      </c>
      <c r="K10" s="114">
        <v>44209</v>
      </c>
      <c r="L10" s="113" t="s">
        <v>48</v>
      </c>
      <c r="M10" s="115">
        <v>45669</v>
      </c>
    </row>
    <row r="11" spans="2:13" x14ac:dyDescent="0.35">
      <c r="B11" s="112" t="s">
        <v>1002</v>
      </c>
      <c r="C11" s="113" t="s">
        <v>636</v>
      </c>
      <c r="D11" s="113" t="s">
        <v>1004</v>
      </c>
      <c r="E11" s="113" t="s">
        <v>391</v>
      </c>
      <c r="F11" s="113" t="s">
        <v>635</v>
      </c>
      <c r="G11" s="113" t="s">
        <v>634</v>
      </c>
      <c r="H11" s="114">
        <v>26212</v>
      </c>
      <c r="I11" s="110">
        <v>53.25</v>
      </c>
      <c r="J11" s="113" t="s">
        <v>612</v>
      </c>
      <c r="K11" s="114">
        <v>44574</v>
      </c>
      <c r="L11" s="113" t="s">
        <v>48</v>
      </c>
      <c r="M11" s="115">
        <v>45669</v>
      </c>
    </row>
    <row r="12" spans="2:13" x14ac:dyDescent="0.35">
      <c r="B12" s="112" t="s">
        <v>1002</v>
      </c>
      <c r="C12" s="113" t="s">
        <v>643</v>
      </c>
      <c r="D12" s="113" t="s">
        <v>1005</v>
      </c>
      <c r="E12" s="113" t="s">
        <v>451</v>
      </c>
      <c r="F12" s="113" t="s">
        <v>752</v>
      </c>
      <c r="G12" s="113" t="s">
        <v>1010</v>
      </c>
      <c r="H12" s="114">
        <v>35776</v>
      </c>
      <c r="I12" s="110">
        <v>27.05</v>
      </c>
      <c r="J12" s="113" t="s">
        <v>640</v>
      </c>
      <c r="K12" s="114">
        <v>43847</v>
      </c>
      <c r="L12" s="113" t="s">
        <v>1001</v>
      </c>
      <c r="M12" s="115">
        <v>45672</v>
      </c>
    </row>
    <row r="13" spans="2:13" x14ac:dyDescent="0.35">
      <c r="B13" s="112" t="s">
        <v>1008</v>
      </c>
      <c r="C13" s="113" t="s">
        <v>630</v>
      </c>
      <c r="D13" s="113" t="s">
        <v>1005</v>
      </c>
      <c r="E13" s="113" t="s">
        <v>637</v>
      </c>
      <c r="F13" s="113" t="s">
        <v>639</v>
      </c>
      <c r="G13" s="113" t="s">
        <v>638</v>
      </c>
      <c r="H13" s="114">
        <v>30714</v>
      </c>
      <c r="I13" s="110">
        <v>40.910000000000004</v>
      </c>
      <c r="J13" s="113" t="s">
        <v>640</v>
      </c>
      <c r="K13" s="114">
        <v>44340</v>
      </c>
      <c r="L13" s="113" t="s">
        <v>48</v>
      </c>
      <c r="M13" s="115">
        <v>45673</v>
      </c>
    </row>
    <row r="14" spans="2:13" x14ac:dyDescent="0.35">
      <c r="B14" s="112" t="s">
        <v>999</v>
      </c>
      <c r="C14" s="113" t="s">
        <v>622</v>
      </c>
      <c r="D14" s="113" t="s">
        <v>1003</v>
      </c>
      <c r="E14" s="113" t="s">
        <v>1011</v>
      </c>
      <c r="F14" s="113" t="s">
        <v>707</v>
      </c>
      <c r="G14" s="113" t="s">
        <v>1012</v>
      </c>
      <c r="H14" s="114">
        <v>31034</v>
      </c>
      <c r="I14" s="110">
        <v>40.04</v>
      </c>
      <c r="J14" s="113" t="s">
        <v>612</v>
      </c>
      <c r="K14" s="114">
        <v>44365</v>
      </c>
      <c r="L14" s="113" t="s">
        <v>48</v>
      </c>
      <c r="M14" s="115">
        <v>45674</v>
      </c>
    </row>
    <row r="15" spans="2:13" x14ac:dyDescent="0.35">
      <c r="B15" s="112" t="s">
        <v>999</v>
      </c>
      <c r="C15" s="113" t="s">
        <v>622</v>
      </c>
      <c r="D15" s="113" t="s">
        <v>1000</v>
      </c>
      <c r="E15" s="113" t="s">
        <v>692</v>
      </c>
      <c r="F15" s="113" t="s">
        <v>694</v>
      </c>
      <c r="G15" s="113" t="s">
        <v>693</v>
      </c>
      <c r="H15" s="114">
        <v>30816</v>
      </c>
      <c r="I15" s="110">
        <v>40.630000000000003</v>
      </c>
      <c r="J15" s="113" t="s">
        <v>612</v>
      </c>
      <c r="K15" s="114">
        <v>44487</v>
      </c>
      <c r="L15" s="113" t="s">
        <v>48</v>
      </c>
      <c r="M15" s="115">
        <v>45674</v>
      </c>
    </row>
    <row r="16" spans="2:13" x14ac:dyDescent="0.35">
      <c r="B16" s="112" t="s">
        <v>1008</v>
      </c>
      <c r="C16" s="113" t="s">
        <v>691</v>
      </c>
      <c r="D16" s="113" t="s">
        <v>1005</v>
      </c>
      <c r="E16" s="113" t="s">
        <v>1013</v>
      </c>
      <c r="F16" s="113" t="s">
        <v>742</v>
      </c>
      <c r="G16" s="113" t="s">
        <v>1014</v>
      </c>
      <c r="H16" s="114">
        <v>35089</v>
      </c>
      <c r="I16" s="110">
        <v>28.93</v>
      </c>
      <c r="J16" s="113" t="s">
        <v>640</v>
      </c>
      <c r="K16" s="114">
        <v>43850</v>
      </c>
      <c r="L16" s="113" t="s">
        <v>1001</v>
      </c>
      <c r="M16" s="115">
        <v>45675</v>
      </c>
    </row>
    <row r="17" spans="2:13" x14ac:dyDescent="0.35">
      <c r="B17" s="112" t="s">
        <v>1008</v>
      </c>
      <c r="C17" s="113" t="s">
        <v>691</v>
      </c>
      <c r="D17" s="113" t="s">
        <v>1005</v>
      </c>
      <c r="E17" s="113" t="s">
        <v>1015</v>
      </c>
      <c r="F17" s="113" t="s">
        <v>752</v>
      </c>
      <c r="G17" s="113" t="s">
        <v>1016</v>
      </c>
      <c r="H17" s="114">
        <v>34777</v>
      </c>
      <c r="I17" s="110">
        <v>29.78</v>
      </c>
      <c r="J17" s="113" t="s">
        <v>640</v>
      </c>
      <c r="K17" s="114">
        <v>43853</v>
      </c>
      <c r="L17" s="113" t="s">
        <v>1001</v>
      </c>
      <c r="M17" s="115">
        <v>45678</v>
      </c>
    </row>
    <row r="18" spans="2:13" x14ac:dyDescent="0.35">
      <c r="B18" s="112" t="s">
        <v>1002</v>
      </c>
      <c r="C18" s="113" t="s">
        <v>643</v>
      </c>
      <c r="D18" s="113" t="s">
        <v>1000</v>
      </c>
      <c r="E18" s="113" t="s">
        <v>673</v>
      </c>
      <c r="F18" s="113" t="s">
        <v>675</v>
      </c>
      <c r="G18" s="113" t="s">
        <v>674</v>
      </c>
      <c r="H18" s="114">
        <v>24799</v>
      </c>
      <c r="I18" s="110">
        <v>57.120000000000005</v>
      </c>
      <c r="J18" s="113" t="s">
        <v>612</v>
      </c>
      <c r="K18" s="114">
        <v>44951</v>
      </c>
      <c r="L18" s="113" t="s">
        <v>48</v>
      </c>
      <c r="M18" s="115">
        <v>45681</v>
      </c>
    </row>
    <row r="19" spans="2:13" x14ac:dyDescent="0.35">
      <c r="B19" s="112" t="s">
        <v>999</v>
      </c>
      <c r="C19" s="113" t="s">
        <v>617</v>
      </c>
      <c r="D19" s="113" t="s">
        <v>1017</v>
      </c>
      <c r="E19" s="113" t="s">
        <v>671</v>
      </c>
      <c r="F19" s="113" t="s">
        <v>633</v>
      </c>
      <c r="G19" s="113" t="s">
        <v>672</v>
      </c>
      <c r="H19" s="114">
        <v>25555</v>
      </c>
      <c r="I19" s="110">
        <v>55.050000000000004</v>
      </c>
      <c r="J19" s="113" t="s">
        <v>612</v>
      </c>
      <c r="K19" s="114">
        <v>44706</v>
      </c>
      <c r="L19" s="113" t="s">
        <v>48</v>
      </c>
      <c r="M19" s="115">
        <v>45682</v>
      </c>
    </row>
    <row r="20" spans="2:13" x14ac:dyDescent="0.35">
      <c r="B20" s="112" t="s">
        <v>999</v>
      </c>
      <c r="C20" s="113" t="s">
        <v>622</v>
      </c>
      <c r="D20" s="113" t="s">
        <v>1000</v>
      </c>
      <c r="E20" s="113" t="s">
        <v>984</v>
      </c>
      <c r="F20" s="113" t="s">
        <v>703</v>
      </c>
      <c r="G20" s="113" t="s">
        <v>985</v>
      </c>
      <c r="H20" s="114">
        <v>24105</v>
      </c>
      <c r="I20" s="110">
        <v>59.02</v>
      </c>
      <c r="J20" s="113" t="s">
        <v>612</v>
      </c>
      <c r="K20" s="114">
        <v>44952</v>
      </c>
      <c r="L20" s="113" t="s">
        <v>48</v>
      </c>
      <c r="M20" s="115">
        <v>45682</v>
      </c>
    </row>
    <row r="21" spans="2:13" x14ac:dyDescent="0.35">
      <c r="B21" s="112" t="s">
        <v>1002</v>
      </c>
      <c r="C21" s="113" t="s">
        <v>667</v>
      </c>
      <c r="D21" s="113" t="s">
        <v>1005</v>
      </c>
      <c r="E21" s="113" t="s">
        <v>463</v>
      </c>
      <c r="F21" s="113" t="s">
        <v>675</v>
      </c>
      <c r="G21" s="113" t="s">
        <v>1018</v>
      </c>
      <c r="H21" s="114">
        <v>23988</v>
      </c>
      <c r="I21" s="110">
        <v>59.34</v>
      </c>
      <c r="J21" s="113" t="s">
        <v>640</v>
      </c>
      <c r="K21" s="114">
        <v>44956</v>
      </c>
      <c r="L21" s="113" t="s">
        <v>48</v>
      </c>
      <c r="M21" s="115">
        <v>45686</v>
      </c>
    </row>
    <row r="22" spans="2:13" x14ac:dyDescent="0.35">
      <c r="B22" s="112" t="s">
        <v>1002</v>
      </c>
      <c r="C22" s="113" t="s">
        <v>667</v>
      </c>
      <c r="D22" s="113" t="s">
        <v>1005</v>
      </c>
      <c r="E22" s="113" t="s">
        <v>460</v>
      </c>
      <c r="F22" s="113" t="s">
        <v>703</v>
      </c>
      <c r="G22" s="113" t="s">
        <v>1019</v>
      </c>
      <c r="H22" s="114">
        <v>24572</v>
      </c>
      <c r="I22" s="110">
        <v>57.74</v>
      </c>
      <c r="J22" s="113" t="s">
        <v>640</v>
      </c>
      <c r="K22" s="114">
        <v>44960</v>
      </c>
      <c r="L22" s="113" t="s">
        <v>48</v>
      </c>
      <c r="M22" s="115">
        <v>45690</v>
      </c>
    </row>
    <row r="23" spans="2:13" x14ac:dyDescent="0.35">
      <c r="B23" s="112" t="s">
        <v>999</v>
      </c>
      <c r="C23" s="113" t="s">
        <v>659</v>
      </c>
      <c r="D23" s="113" t="s">
        <v>1004</v>
      </c>
      <c r="E23" s="113" t="s">
        <v>1020</v>
      </c>
      <c r="F23" s="113" t="s">
        <v>730</v>
      </c>
      <c r="G23" s="113" t="s">
        <v>1021</v>
      </c>
      <c r="H23" s="114">
        <v>33243</v>
      </c>
      <c r="I23" s="110">
        <v>33.99</v>
      </c>
      <c r="J23" s="113" t="s">
        <v>612</v>
      </c>
      <c r="K23" s="114">
        <v>44230</v>
      </c>
      <c r="L23" s="113" t="s">
        <v>48</v>
      </c>
      <c r="M23" s="115">
        <v>45690</v>
      </c>
    </row>
    <row r="24" spans="2:13" x14ac:dyDescent="0.35">
      <c r="B24" s="112" t="s">
        <v>999</v>
      </c>
      <c r="C24" s="113" t="s">
        <v>659</v>
      </c>
      <c r="D24" s="113" t="s">
        <v>1022</v>
      </c>
      <c r="E24" s="113" t="s">
        <v>1023</v>
      </c>
      <c r="F24" s="113" t="s">
        <v>709</v>
      </c>
      <c r="G24" s="113" t="s">
        <v>1024</v>
      </c>
      <c r="H24" s="114">
        <v>26482</v>
      </c>
      <c r="I24" s="110">
        <v>52.51</v>
      </c>
      <c r="J24" s="113" t="s">
        <v>612</v>
      </c>
      <c r="K24" s="114">
        <v>44596</v>
      </c>
      <c r="L24" s="113" t="s">
        <v>48</v>
      </c>
      <c r="M24" s="115">
        <v>45691</v>
      </c>
    </row>
    <row r="25" spans="2:13" x14ac:dyDescent="0.35">
      <c r="B25" s="112" t="s">
        <v>1002</v>
      </c>
      <c r="C25" s="113" t="s">
        <v>648</v>
      </c>
      <c r="D25" s="113" t="s">
        <v>1000</v>
      </c>
      <c r="E25" s="113" t="s">
        <v>287</v>
      </c>
      <c r="F25" s="113" t="s">
        <v>798</v>
      </c>
      <c r="G25" s="113" t="s">
        <v>1025</v>
      </c>
      <c r="H25" s="114">
        <v>34817</v>
      </c>
      <c r="I25" s="110">
        <v>29.67</v>
      </c>
      <c r="J25" s="113" t="s">
        <v>612</v>
      </c>
      <c r="K25" s="114">
        <v>44232</v>
      </c>
      <c r="L25" s="113" t="s">
        <v>1026</v>
      </c>
      <c r="M25" s="115">
        <v>45692</v>
      </c>
    </row>
    <row r="26" spans="2:13" x14ac:dyDescent="0.35">
      <c r="B26" s="112" t="s">
        <v>999</v>
      </c>
      <c r="C26" s="113" t="s">
        <v>622</v>
      </c>
      <c r="D26" s="113" t="s">
        <v>1003</v>
      </c>
      <c r="E26" s="113" t="s">
        <v>1027</v>
      </c>
      <c r="F26" s="113" t="s">
        <v>1028</v>
      </c>
      <c r="G26" s="113" t="s">
        <v>1029</v>
      </c>
      <c r="H26" s="114">
        <v>34374</v>
      </c>
      <c r="I26" s="110">
        <v>30.89</v>
      </c>
      <c r="J26" s="113" t="s">
        <v>612</v>
      </c>
      <c r="K26" s="114">
        <v>44232</v>
      </c>
      <c r="L26" s="113" t="s">
        <v>48</v>
      </c>
      <c r="M26" s="115">
        <v>45692</v>
      </c>
    </row>
    <row r="27" spans="2:13" x14ac:dyDescent="0.35">
      <c r="B27" s="112" t="s">
        <v>999</v>
      </c>
      <c r="C27" s="113" t="s">
        <v>659</v>
      </c>
      <c r="D27" s="113" t="s">
        <v>1000</v>
      </c>
      <c r="E27" s="113" t="s">
        <v>1030</v>
      </c>
      <c r="F27" s="113" t="s">
        <v>1031</v>
      </c>
      <c r="G27" s="113" t="s">
        <v>1032</v>
      </c>
      <c r="H27" s="114">
        <v>33808</v>
      </c>
      <c r="I27" s="110">
        <v>32.44</v>
      </c>
      <c r="J27" s="113" t="s">
        <v>612</v>
      </c>
      <c r="K27" s="114">
        <v>44232</v>
      </c>
      <c r="L27" s="113" t="s">
        <v>48</v>
      </c>
      <c r="M27" s="115">
        <v>45692</v>
      </c>
    </row>
    <row r="28" spans="2:13" x14ac:dyDescent="0.35">
      <c r="B28" s="112" t="s">
        <v>999</v>
      </c>
      <c r="C28" s="113" t="s">
        <v>659</v>
      </c>
      <c r="D28" s="113" t="s">
        <v>1005</v>
      </c>
      <c r="E28" s="113" t="s">
        <v>1033</v>
      </c>
      <c r="F28" s="113" t="s">
        <v>1034</v>
      </c>
      <c r="G28" s="113" t="s">
        <v>1035</v>
      </c>
      <c r="H28" s="114">
        <v>28188</v>
      </c>
      <c r="I28" s="110">
        <v>47.83</v>
      </c>
      <c r="J28" s="113" t="s">
        <v>640</v>
      </c>
      <c r="K28" s="114">
        <v>44599</v>
      </c>
      <c r="L28" s="113" t="s">
        <v>48</v>
      </c>
      <c r="M28" s="115">
        <v>45694</v>
      </c>
    </row>
    <row r="29" spans="2:13" x14ac:dyDescent="0.35">
      <c r="B29" s="112" t="s">
        <v>1002</v>
      </c>
      <c r="C29" s="113" t="s">
        <v>648</v>
      </c>
      <c r="D29" s="113" t="s">
        <v>1003</v>
      </c>
      <c r="E29" s="113" t="s">
        <v>215</v>
      </c>
      <c r="F29" s="113" t="s">
        <v>931</v>
      </c>
      <c r="G29" s="113" t="s">
        <v>1036</v>
      </c>
      <c r="H29" s="114">
        <v>33872</v>
      </c>
      <c r="I29" s="110">
        <v>32.26</v>
      </c>
      <c r="J29" s="113" t="s">
        <v>612</v>
      </c>
      <c r="K29" s="114">
        <v>44235</v>
      </c>
      <c r="L29" s="113" t="s">
        <v>48</v>
      </c>
      <c r="M29" s="115">
        <v>45695</v>
      </c>
    </row>
    <row r="30" spans="2:13" x14ac:dyDescent="0.35">
      <c r="B30" s="112" t="s">
        <v>999</v>
      </c>
      <c r="C30" s="113" t="s">
        <v>659</v>
      </c>
      <c r="D30" s="113" t="s">
        <v>1003</v>
      </c>
      <c r="E30" s="113" t="s">
        <v>1037</v>
      </c>
      <c r="F30" s="113" t="s">
        <v>1038</v>
      </c>
      <c r="G30" s="113" t="s">
        <v>1039</v>
      </c>
      <c r="H30" s="114">
        <v>34448</v>
      </c>
      <c r="I30" s="110">
        <v>30.68</v>
      </c>
      <c r="J30" s="113" t="s">
        <v>612</v>
      </c>
      <c r="K30" s="114">
        <v>44235</v>
      </c>
      <c r="L30" s="113" t="s">
        <v>48</v>
      </c>
      <c r="M30" s="115">
        <v>45695</v>
      </c>
    </row>
    <row r="31" spans="2:13" x14ac:dyDescent="0.35">
      <c r="B31" s="112" t="s">
        <v>999</v>
      </c>
      <c r="C31" s="113" t="s">
        <v>659</v>
      </c>
      <c r="D31" s="113" t="s">
        <v>1003</v>
      </c>
      <c r="E31" s="113" t="s">
        <v>1040</v>
      </c>
      <c r="F31" s="113" t="s">
        <v>1041</v>
      </c>
      <c r="G31" s="113" t="s">
        <v>1042</v>
      </c>
      <c r="H31" s="114">
        <v>29804</v>
      </c>
      <c r="I31" s="110">
        <v>43.410000000000004</v>
      </c>
      <c r="J31" s="113" t="s">
        <v>612</v>
      </c>
      <c r="K31" s="114">
        <v>44600</v>
      </c>
      <c r="L31" s="113" t="s">
        <v>48</v>
      </c>
      <c r="M31" s="115">
        <v>45695</v>
      </c>
    </row>
    <row r="32" spans="2:13" x14ac:dyDescent="0.35">
      <c r="B32" s="112" t="s">
        <v>999</v>
      </c>
      <c r="C32" s="113" t="s">
        <v>659</v>
      </c>
      <c r="D32" s="113" t="s">
        <v>1003</v>
      </c>
      <c r="E32" s="113" t="s">
        <v>1043</v>
      </c>
      <c r="F32" s="113" t="s">
        <v>1044</v>
      </c>
      <c r="G32" s="113" t="s">
        <v>986</v>
      </c>
      <c r="H32" s="114">
        <v>28698</v>
      </c>
      <c r="I32" s="110">
        <v>46.44</v>
      </c>
      <c r="J32" s="113" t="s">
        <v>612</v>
      </c>
      <c r="K32" s="114">
        <v>44600</v>
      </c>
      <c r="L32" s="113" t="s">
        <v>48</v>
      </c>
      <c r="M32" s="115">
        <v>45695</v>
      </c>
    </row>
    <row r="33" spans="2:13" x14ac:dyDescent="0.35">
      <c r="B33" s="112" t="s">
        <v>1008</v>
      </c>
      <c r="C33" s="113" t="s">
        <v>691</v>
      </c>
      <c r="D33" s="113" t="s">
        <v>1045</v>
      </c>
      <c r="E33" s="113" t="s">
        <v>1046</v>
      </c>
      <c r="F33" s="113" t="s">
        <v>660</v>
      </c>
      <c r="G33" s="113" t="s">
        <v>1047</v>
      </c>
      <c r="H33" s="114">
        <v>26115</v>
      </c>
      <c r="I33" s="110">
        <v>53.51</v>
      </c>
      <c r="J33" s="113" t="s">
        <v>612</v>
      </c>
      <c r="K33" s="114">
        <v>44606</v>
      </c>
      <c r="L33" s="113" t="s">
        <v>48</v>
      </c>
      <c r="M33" s="115">
        <v>45701</v>
      </c>
    </row>
    <row r="34" spans="2:13" x14ac:dyDescent="0.35">
      <c r="B34" s="112" t="s">
        <v>1002</v>
      </c>
      <c r="C34" s="113" t="s">
        <v>643</v>
      </c>
      <c r="D34" s="113" t="s">
        <v>1000</v>
      </c>
      <c r="E34" s="113" t="s">
        <v>248</v>
      </c>
      <c r="F34" s="113" t="s">
        <v>723</v>
      </c>
      <c r="G34" s="113" t="s">
        <v>722</v>
      </c>
      <c r="H34" s="114">
        <v>33098</v>
      </c>
      <c r="I34" s="110">
        <v>34.380000000000003</v>
      </c>
      <c r="J34" s="113" t="s">
        <v>612</v>
      </c>
      <c r="K34" s="114">
        <v>44242</v>
      </c>
      <c r="L34" s="113" t="s">
        <v>48</v>
      </c>
      <c r="M34" s="115">
        <v>45702</v>
      </c>
    </row>
    <row r="35" spans="2:13" x14ac:dyDescent="0.35">
      <c r="B35" s="112" t="s">
        <v>999</v>
      </c>
      <c r="C35" s="113" t="s">
        <v>659</v>
      </c>
      <c r="D35" s="113" t="s">
        <v>1048</v>
      </c>
      <c r="E35" s="113" t="s">
        <v>1049</v>
      </c>
      <c r="F35" s="113" t="s">
        <v>633</v>
      </c>
      <c r="G35" s="113" t="s">
        <v>1050</v>
      </c>
      <c r="H35" s="114">
        <v>26846</v>
      </c>
      <c r="I35" s="110">
        <v>51.51</v>
      </c>
      <c r="J35" s="113" t="s">
        <v>640</v>
      </c>
      <c r="K35" s="114">
        <v>44607</v>
      </c>
      <c r="L35" s="113" t="s">
        <v>48</v>
      </c>
      <c r="M35" s="115">
        <v>45702</v>
      </c>
    </row>
    <row r="36" spans="2:13" x14ac:dyDescent="0.35">
      <c r="B36" s="112" t="s">
        <v>999</v>
      </c>
      <c r="C36" s="113" t="s">
        <v>659</v>
      </c>
      <c r="D36" s="113" t="s">
        <v>1048</v>
      </c>
      <c r="E36" s="113" t="s">
        <v>1051</v>
      </c>
      <c r="F36" s="113" t="s">
        <v>639</v>
      </c>
      <c r="G36" s="113" t="s">
        <v>1052</v>
      </c>
      <c r="H36" s="114">
        <v>25609</v>
      </c>
      <c r="I36" s="110">
        <v>54.9</v>
      </c>
      <c r="J36" s="113" t="s">
        <v>640</v>
      </c>
      <c r="K36" s="114">
        <v>44607</v>
      </c>
      <c r="L36" s="113" t="s">
        <v>48</v>
      </c>
      <c r="M36" s="115">
        <v>45702</v>
      </c>
    </row>
    <row r="37" spans="2:13" x14ac:dyDescent="0.35">
      <c r="B37" s="112" t="s">
        <v>999</v>
      </c>
      <c r="C37" s="113" t="s">
        <v>659</v>
      </c>
      <c r="D37" s="113" t="s">
        <v>1053</v>
      </c>
      <c r="E37" s="113" t="s">
        <v>1054</v>
      </c>
      <c r="F37" s="113" t="s">
        <v>747</v>
      </c>
      <c r="G37" s="113" t="s">
        <v>1055</v>
      </c>
      <c r="H37" s="114">
        <v>33023</v>
      </c>
      <c r="I37" s="110">
        <v>34.590000000000003</v>
      </c>
      <c r="J37" s="113" t="s">
        <v>612</v>
      </c>
      <c r="K37" s="114">
        <v>44243</v>
      </c>
      <c r="L37" s="113" t="s">
        <v>48</v>
      </c>
      <c r="M37" s="115">
        <v>45703</v>
      </c>
    </row>
    <row r="38" spans="2:13" x14ac:dyDescent="0.35">
      <c r="B38" s="112" t="s">
        <v>1002</v>
      </c>
      <c r="C38" s="113" t="s">
        <v>643</v>
      </c>
      <c r="D38" s="113" t="s">
        <v>1003</v>
      </c>
      <c r="E38" s="113" t="s">
        <v>119</v>
      </c>
      <c r="F38" s="113" t="s">
        <v>940</v>
      </c>
      <c r="G38" s="113" t="s">
        <v>939</v>
      </c>
      <c r="H38" s="114">
        <v>32283</v>
      </c>
      <c r="I38" s="110">
        <v>36.619999999999997</v>
      </c>
      <c r="J38" s="113" t="s">
        <v>612</v>
      </c>
      <c r="K38" s="114">
        <v>44244</v>
      </c>
      <c r="L38" s="113" t="s">
        <v>48</v>
      </c>
      <c r="M38" s="115">
        <v>45704</v>
      </c>
    </row>
    <row r="39" spans="2:13" x14ac:dyDescent="0.35">
      <c r="B39" s="112" t="s">
        <v>999</v>
      </c>
      <c r="C39" s="113" t="s">
        <v>617</v>
      </c>
      <c r="D39" s="113" t="s">
        <v>1000</v>
      </c>
      <c r="E39" s="113" t="s">
        <v>1056</v>
      </c>
      <c r="F39" s="113" t="s">
        <v>697</v>
      </c>
      <c r="G39" s="113" t="s">
        <v>1057</v>
      </c>
      <c r="H39" s="114">
        <v>34753</v>
      </c>
      <c r="I39" s="110">
        <v>29.85</v>
      </c>
      <c r="J39" s="113" t="s">
        <v>612</v>
      </c>
      <c r="K39" s="114">
        <v>44245</v>
      </c>
      <c r="L39" s="113" t="s">
        <v>48</v>
      </c>
      <c r="M39" s="115">
        <v>45705</v>
      </c>
    </row>
    <row r="40" spans="2:13" x14ac:dyDescent="0.35">
      <c r="B40" s="112" t="s">
        <v>999</v>
      </c>
      <c r="C40" s="113" t="s">
        <v>622</v>
      </c>
      <c r="D40" s="113" t="s">
        <v>1003</v>
      </c>
      <c r="E40" s="113" t="s">
        <v>1058</v>
      </c>
      <c r="F40" s="113" t="s">
        <v>609</v>
      </c>
      <c r="G40" s="113" t="s">
        <v>1059</v>
      </c>
      <c r="H40" s="114">
        <v>31625</v>
      </c>
      <c r="I40" s="110">
        <v>38.42</v>
      </c>
      <c r="J40" s="113" t="s">
        <v>612</v>
      </c>
      <c r="K40" s="114">
        <v>44256</v>
      </c>
      <c r="L40" s="113" t="s">
        <v>48</v>
      </c>
      <c r="M40" s="115">
        <v>45716</v>
      </c>
    </row>
    <row r="41" spans="2:13" x14ac:dyDescent="0.35">
      <c r="B41" s="112" t="s">
        <v>999</v>
      </c>
      <c r="C41" s="113" t="s">
        <v>622</v>
      </c>
      <c r="D41" s="113" t="s">
        <v>1003</v>
      </c>
      <c r="E41" s="113" t="s">
        <v>1060</v>
      </c>
      <c r="F41" s="113" t="s">
        <v>675</v>
      </c>
      <c r="G41" s="113" t="s">
        <v>1061</v>
      </c>
      <c r="H41" s="114">
        <v>32611</v>
      </c>
      <c r="I41" s="110">
        <v>35.72</v>
      </c>
      <c r="J41" s="113" t="s">
        <v>612</v>
      </c>
      <c r="K41" s="114">
        <v>44257</v>
      </c>
      <c r="L41" s="113" t="s">
        <v>48</v>
      </c>
      <c r="M41" s="115">
        <v>45717</v>
      </c>
    </row>
    <row r="42" spans="2:13" x14ac:dyDescent="0.35">
      <c r="B42" s="112" t="s">
        <v>1062</v>
      </c>
      <c r="C42" s="113" t="s">
        <v>610</v>
      </c>
      <c r="D42" s="113" t="s">
        <v>1022</v>
      </c>
      <c r="E42" s="113" t="s">
        <v>607</v>
      </c>
      <c r="F42" s="113" t="s">
        <v>609</v>
      </c>
      <c r="G42" s="113" t="s">
        <v>608</v>
      </c>
      <c r="H42" s="114">
        <v>33298</v>
      </c>
      <c r="I42" s="110">
        <v>33.83</v>
      </c>
      <c r="J42" s="113" t="s">
        <v>612</v>
      </c>
      <c r="K42" s="114">
        <v>44258</v>
      </c>
      <c r="L42" s="113" t="s">
        <v>48</v>
      </c>
      <c r="M42" s="115">
        <v>45718</v>
      </c>
    </row>
    <row r="43" spans="2:13" x14ac:dyDescent="0.35">
      <c r="B43" s="112" t="s">
        <v>1002</v>
      </c>
      <c r="C43" s="113" t="s">
        <v>648</v>
      </c>
      <c r="D43" s="113" t="s">
        <v>1003</v>
      </c>
      <c r="E43" s="113" t="s">
        <v>103</v>
      </c>
      <c r="F43" s="113" t="s">
        <v>703</v>
      </c>
      <c r="G43" s="113" t="s">
        <v>1063</v>
      </c>
      <c r="H43" s="114">
        <v>32509</v>
      </c>
      <c r="I43" s="110">
        <v>36</v>
      </c>
      <c r="J43" s="113" t="s">
        <v>612</v>
      </c>
      <c r="K43" s="114">
        <v>44259</v>
      </c>
      <c r="L43" s="113" t="s">
        <v>48</v>
      </c>
      <c r="M43" s="115">
        <v>45719</v>
      </c>
    </row>
    <row r="44" spans="2:13" x14ac:dyDescent="0.35">
      <c r="B44" s="112" t="s">
        <v>1002</v>
      </c>
      <c r="C44" s="113" t="s">
        <v>648</v>
      </c>
      <c r="D44" s="113" t="s">
        <v>1003</v>
      </c>
      <c r="E44" s="113" t="s">
        <v>210</v>
      </c>
      <c r="F44" s="113" t="s">
        <v>730</v>
      </c>
      <c r="G44" s="113" t="s">
        <v>729</v>
      </c>
      <c r="H44" s="114">
        <v>27694</v>
      </c>
      <c r="I44" s="110">
        <v>49.19</v>
      </c>
      <c r="J44" s="113" t="s">
        <v>612</v>
      </c>
      <c r="K44" s="114">
        <v>44624</v>
      </c>
      <c r="L44" s="113" t="s">
        <v>48</v>
      </c>
      <c r="M44" s="115">
        <v>45719</v>
      </c>
    </row>
    <row r="45" spans="2:13" x14ac:dyDescent="0.35">
      <c r="B45" s="112" t="s">
        <v>999</v>
      </c>
      <c r="C45" s="113" t="s">
        <v>659</v>
      </c>
      <c r="D45" s="113" t="s">
        <v>1022</v>
      </c>
      <c r="E45" s="113" t="s">
        <v>1064</v>
      </c>
      <c r="F45" s="113" t="s">
        <v>633</v>
      </c>
      <c r="G45" s="113" t="s">
        <v>1065</v>
      </c>
      <c r="H45" s="114">
        <v>32149</v>
      </c>
      <c r="I45" s="110">
        <v>36.980000000000004</v>
      </c>
      <c r="J45" s="113" t="s">
        <v>612</v>
      </c>
      <c r="K45" s="114">
        <v>44259</v>
      </c>
      <c r="L45" s="113" t="s">
        <v>48</v>
      </c>
      <c r="M45" s="115">
        <v>45719</v>
      </c>
    </row>
    <row r="46" spans="2:13" x14ac:dyDescent="0.35">
      <c r="B46" s="112" t="s">
        <v>999</v>
      </c>
      <c r="C46" s="113" t="s">
        <v>617</v>
      </c>
      <c r="D46" s="113" t="s">
        <v>1000</v>
      </c>
      <c r="E46" s="113" t="s">
        <v>663</v>
      </c>
      <c r="F46" s="113" t="s">
        <v>665</v>
      </c>
      <c r="G46" s="113" t="s">
        <v>664</v>
      </c>
      <c r="H46" s="114">
        <v>23801</v>
      </c>
      <c r="I46" s="110">
        <v>59.85</v>
      </c>
      <c r="J46" s="113" t="s">
        <v>612</v>
      </c>
      <c r="K46" s="114">
        <v>44991</v>
      </c>
      <c r="L46" s="113" t="s">
        <v>48</v>
      </c>
      <c r="M46" s="115">
        <v>45721</v>
      </c>
    </row>
    <row r="47" spans="2:13" x14ac:dyDescent="0.35">
      <c r="B47" s="112" t="s">
        <v>1002</v>
      </c>
      <c r="C47" s="113" t="s">
        <v>667</v>
      </c>
      <c r="D47" s="113" t="s">
        <v>1000</v>
      </c>
      <c r="E47" s="113" t="s">
        <v>301</v>
      </c>
      <c r="F47" s="113" t="s">
        <v>707</v>
      </c>
      <c r="G47" s="113" t="s">
        <v>609</v>
      </c>
      <c r="H47" s="114">
        <v>25462</v>
      </c>
      <c r="I47" s="110">
        <v>55.300000000000004</v>
      </c>
      <c r="J47" s="113" t="s">
        <v>612</v>
      </c>
      <c r="K47" s="114">
        <v>44631</v>
      </c>
      <c r="L47" s="113" t="s">
        <v>48</v>
      </c>
      <c r="M47" s="115">
        <v>45726</v>
      </c>
    </row>
    <row r="48" spans="2:13" x14ac:dyDescent="0.35">
      <c r="B48" s="112" t="s">
        <v>1002</v>
      </c>
      <c r="C48" s="113" t="s">
        <v>643</v>
      </c>
      <c r="D48" s="113" t="s">
        <v>1003</v>
      </c>
      <c r="E48" s="113" t="s">
        <v>62</v>
      </c>
      <c r="F48" s="113" t="s">
        <v>686</v>
      </c>
      <c r="G48" s="113" t="s">
        <v>748</v>
      </c>
      <c r="H48" s="114">
        <v>24183</v>
      </c>
      <c r="I48" s="110">
        <v>58.81</v>
      </c>
      <c r="J48" s="113" t="s">
        <v>612</v>
      </c>
      <c r="K48" s="114">
        <v>45363</v>
      </c>
      <c r="L48" s="113" t="s">
        <v>48</v>
      </c>
      <c r="M48" s="115">
        <v>45728</v>
      </c>
    </row>
    <row r="49" spans="2:13" x14ac:dyDescent="0.35">
      <c r="B49" s="112" t="s">
        <v>1002</v>
      </c>
      <c r="C49" s="113" t="s">
        <v>643</v>
      </c>
      <c r="D49" s="113" t="s">
        <v>1003</v>
      </c>
      <c r="E49" s="113" t="s">
        <v>63</v>
      </c>
      <c r="F49" s="113" t="s">
        <v>750</v>
      </c>
      <c r="G49" s="113" t="s">
        <v>749</v>
      </c>
      <c r="H49" s="114">
        <v>24171</v>
      </c>
      <c r="I49" s="110">
        <v>58.84</v>
      </c>
      <c r="J49" s="113" t="s">
        <v>612</v>
      </c>
      <c r="K49" s="114">
        <v>45363</v>
      </c>
      <c r="L49" s="113" t="s">
        <v>48</v>
      </c>
      <c r="M49" s="115">
        <v>45728</v>
      </c>
    </row>
    <row r="50" spans="2:13" x14ac:dyDescent="0.35">
      <c r="B50" s="112" t="s">
        <v>1008</v>
      </c>
      <c r="C50" s="113" t="s">
        <v>630</v>
      </c>
      <c r="D50" s="113" t="s">
        <v>1053</v>
      </c>
      <c r="E50" s="113" t="s">
        <v>1066</v>
      </c>
      <c r="F50" s="113" t="s">
        <v>645</v>
      </c>
      <c r="G50" s="113" t="s">
        <v>1067</v>
      </c>
      <c r="H50" s="114">
        <v>32519</v>
      </c>
      <c r="I50" s="110">
        <v>35.97</v>
      </c>
      <c r="J50" s="113" t="s">
        <v>612</v>
      </c>
      <c r="K50" s="114">
        <v>44270</v>
      </c>
      <c r="L50" s="113" t="s">
        <v>48</v>
      </c>
      <c r="M50" s="115">
        <v>45730</v>
      </c>
    </row>
    <row r="51" spans="2:13" x14ac:dyDescent="0.35">
      <c r="B51" s="112" t="s">
        <v>1002</v>
      </c>
      <c r="C51" s="113" t="s">
        <v>667</v>
      </c>
      <c r="D51" s="113" t="s">
        <v>1000</v>
      </c>
      <c r="E51" s="113" t="s">
        <v>303</v>
      </c>
      <c r="F51" s="113" t="s">
        <v>633</v>
      </c>
      <c r="G51" s="113" t="s">
        <v>666</v>
      </c>
      <c r="H51" s="114">
        <v>31959</v>
      </c>
      <c r="I51" s="110">
        <v>37.5</v>
      </c>
      <c r="J51" s="113" t="s">
        <v>612</v>
      </c>
      <c r="K51" s="114">
        <v>44271</v>
      </c>
      <c r="L51" s="113" t="s">
        <v>48</v>
      </c>
      <c r="M51" s="115">
        <v>45731</v>
      </c>
    </row>
    <row r="52" spans="2:13" x14ac:dyDescent="0.35">
      <c r="B52" s="112" t="s">
        <v>1002</v>
      </c>
      <c r="C52" s="113" t="s">
        <v>643</v>
      </c>
      <c r="D52" s="113" t="s">
        <v>1017</v>
      </c>
      <c r="E52" s="113" t="s">
        <v>66</v>
      </c>
      <c r="F52" s="113" t="s">
        <v>686</v>
      </c>
      <c r="G52" s="113" t="s">
        <v>770</v>
      </c>
      <c r="H52" s="114">
        <v>23924</v>
      </c>
      <c r="I52" s="110">
        <v>59.52</v>
      </c>
      <c r="J52" s="113" t="s">
        <v>612</v>
      </c>
      <c r="K52" s="114">
        <v>45370</v>
      </c>
      <c r="L52" s="113" t="s">
        <v>48</v>
      </c>
      <c r="M52" s="115">
        <v>45735</v>
      </c>
    </row>
    <row r="53" spans="2:13" x14ac:dyDescent="0.35">
      <c r="B53" s="112" t="s">
        <v>1002</v>
      </c>
      <c r="C53" s="113" t="s">
        <v>667</v>
      </c>
      <c r="D53" s="113" t="s">
        <v>1000</v>
      </c>
      <c r="E53" s="113" t="s">
        <v>297</v>
      </c>
      <c r="F53" s="113" t="s">
        <v>849</v>
      </c>
      <c r="G53" s="113" t="s">
        <v>1068</v>
      </c>
      <c r="H53" s="114">
        <v>27494</v>
      </c>
      <c r="I53" s="110">
        <v>49.74</v>
      </c>
      <c r="J53" s="113" t="s">
        <v>612</v>
      </c>
      <c r="K53" s="114">
        <v>44656</v>
      </c>
      <c r="L53" s="113" t="s">
        <v>48</v>
      </c>
      <c r="M53" s="115">
        <v>45751</v>
      </c>
    </row>
    <row r="54" spans="2:13" x14ac:dyDescent="0.35">
      <c r="B54" s="112" t="s">
        <v>1002</v>
      </c>
      <c r="C54" s="113" t="s">
        <v>667</v>
      </c>
      <c r="D54" s="113" t="s">
        <v>1003</v>
      </c>
      <c r="E54" s="113" t="s">
        <v>152</v>
      </c>
      <c r="F54" s="113" t="s">
        <v>742</v>
      </c>
      <c r="G54" s="113" t="s">
        <v>790</v>
      </c>
      <c r="H54" s="114">
        <v>25637</v>
      </c>
      <c r="I54" s="110">
        <v>54.82</v>
      </c>
      <c r="J54" s="113" t="s">
        <v>612</v>
      </c>
      <c r="K54" s="114">
        <v>44657</v>
      </c>
      <c r="L54" s="113" t="s">
        <v>48</v>
      </c>
      <c r="M54" s="115">
        <v>45752</v>
      </c>
    </row>
    <row r="55" spans="2:13" x14ac:dyDescent="0.35">
      <c r="B55" s="112" t="s">
        <v>1002</v>
      </c>
      <c r="C55" s="113" t="s">
        <v>636</v>
      </c>
      <c r="D55" s="113" t="s">
        <v>1003</v>
      </c>
      <c r="E55" s="113" t="s">
        <v>159</v>
      </c>
      <c r="F55" s="113" t="s">
        <v>703</v>
      </c>
      <c r="G55" s="113" t="s">
        <v>794</v>
      </c>
      <c r="H55" s="114">
        <v>32942</v>
      </c>
      <c r="I55" s="110">
        <v>34.81</v>
      </c>
      <c r="J55" s="113" t="s">
        <v>612</v>
      </c>
      <c r="K55" s="114">
        <v>44292</v>
      </c>
      <c r="L55" s="113" t="s">
        <v>48</v>
      </c>
      <c r="M55" s="115">
        <v>45752</v>
      </c>
    </row>
    <row r="56" spans="2:13" x14ac:dyDescent="0.35">
      <c r="B56" s="112" t="s">
        <v>1002</v>
      </c>
      <c r="C56" s="113" t="s">
        <v>636</v>
      </c>
      <c r="D56" s="113" t="s">
        <v>1003</v>
      </c>
      <c r="E56" s="113" t="s">
        <v>91</v>
      </c>
      <c r="F56" s="113" t="s">
        <v>728</v>
      </c>
      <c r="G56" s="113" t="s">
        <v>795</v>
      </c>
      <c r="H56" s="114">
        <v>32641</v>
      </c>
      <c r="I56" s="110">
        <v>35.630000000000003</v>
      </c>
      <c r="J56" s="113" t="s">
        <v>612</v>
      </c>
      <c r="K56" s="114">
        <v>44293</v>
      </c>
      <c r="L56" s="113" t="s">
        <v>48</v>
      </c>
      <c r="M56" s="115">
        <v>45753</v>
      </c>
    </row>
    <row r="57" spans="2:13" x14ac:dyDescent="0.35">
      <c r="B57" s="112" t="s">
        <v>1002</v>
      </c>
      <c r="C57" s="113" t="s">
        <v>643</v>
      </c>
      <c r="D57" s="113" t="s">
        <v>1003</v>
      </c>
      <c r="E57" s="113" t="s">
        <v>204</v>
      </c>
      <c r="F57" s="113" t="s">
        <v>798</v>
      </c>
      <c r="G57" s="113" t="s">
        <v>797</v>
      </c>
      <c r="H57" s="114">
        <v>31693</v>
      </c>
      <c r="I57" s="110">
        <v>38.230000000000004</v>
      </c>
      <c r="J57" s="113" t="s">
        <v>612</v>
      </c>
      <c r="K57" s="114">
        <v>44294</v>
      </c>
      <c r="L57" s="113" t="s">
        <v>48</v>
      </c>
      <c r="M57" s="115">
        <v>45754</v>
      </c>
    </row>
    <row r="58" spans="2:13" x14ac:dyDescent="0.35">
      <c r="B58" s="112" t="s">
        <v>1002</v>
      </c>
      <c r="C58" s="113" t="s">
        <v>667</v>
      </c>
      <c r="D58" s="113" t="s">
        <v>1003</v>
      </c>
      <c r="E58" s="113" t="s">
        <v>175</v>
      </c>
      <c r="F58" s="113" t="s">
        <v>660</v>
      </c>
      <c r="G58" s="113" t="s">
        <v>687</v>
      </c>
      <c r="H58" s="114">
        <v>25487</v>
      </c>
      <c r="I58" s="110">
        <v>55.230000000000004</v>
      </c>
      <c r="J58" s="113" t="s">
        <v>612</v>
      </c>
      <c r="K58" s="114">
        <v>44659</v>
      </c>
      <c r="L58" s="113" t="s">
        <v>48</v>
      </c>
      <c r="M58" s="115">
        <v>45755</v>
      </c>
    </row>
    <row r="59" spans="2:13" x14ac:dyDescent="0.35">
      <c r="B59" s="112" t="s">
        <v>1002</v>
      </c>
      <c r="C59" s="113" t="s">
        <v>643</v>
      </c>
      <c r="D59" s="113" t="s">
        <v>1003</v>
      </c>
      <c r="E59" s="113" t="s">
        <v>120</v>
      </c>
      <c r="F59" s="113" t="s">
        <v>750</v>
      </c>
      <c r="G59" s="113" t="s">
        <v>1069</v>
      </c>
      <c r="H59" s="114">
        <v>32620</v>
      </c>
      <c r="I59" s="110">
        <v>35.69</v>
      </c>
      <c r="J59" s="113" t="s">
        <v>612</v>
      </c>
      <c r="K59" s="114">
        <v>44295</v>
      </c>
      <c r="L59" s="113" t="s">
        <v>48</v>
      </c>
      <c r="M59" s="115">
        <v>45755</v>
      </c>
    </row>
    <row r="60" spans="2:13" x14ac:dyDescent="0.35">
      <c r="B60" s="112" t="s">
        <v>1002</v>
      </c>
      <c r="C60" s="113" t="s">
        <v>636</v>
      </c>
      <c r="D60" s="113" t="s">
        <v>1003</v>
      </c>
      <c r="E60" s="113" t="s">
        <v>218</v>
      </c>
      <c r="F60" s="113" t="s">
        <v>1070</v>
      </c>
      <c r="G60" s="113" t="s">
        <v>1071</v>
      </c>
      <c r="H60" s="114">
        <v>33708</v>
      </c>
      <c r="I60" s="110">
        <v>32.71</v>
      </c>
      <c r="J60" s="113" t="s">
        <v>612</v>
      </c>
      <c r="K60" s="114">
        <v>44295</v>
      </c>
      <c r="L60" s="113" t="s">
        <v>48</v>
      </c>
      <c r="M60" s="115">
        <v>45755</v>
      </c>
    </row>
    <row r="61" spans="2:13" x14ac:dyDescent="0.35">
      <c r="B61" s="112" t="s">
        <v>999</v>
      </c>
      <c r="C61" s="113" t="s">
        <v>659</v>
      </c>
      <c r="D61" s="113" t="s">
        <v>1003</v>
      </c>
      <c r="E61" s="113" t="s">
        <v>1072</v>
      </c>
      <c r="F61" s="113" t="s">
        <v>1073</v>
      </c>
      <c r="G61" s="113" t="s">
        <v>1074</v>
      </c>
      <c r="H61" s="114">
        <v>31885</v>
      </c>
      <c r="I61" s="110">
        <v>37.71</v>
      </c>
      <c r="J61" s="113" t="s">
        <v>612</v>
      </c>
      <c r="K61" s="114">
        <v>44295</v>
      </c>
      <c r="L61" s="113" t="s">
        <v>48</v>
      </c>
      <c r="M61" s="115">
        <v>45755</v>
      </c>
    </row>
    <row r="62" spans="2:13" x14ac:dyDescent="0.35">
      <c r="B62" s="112" t="s">
        <v>1002</v>
      </c>
      <c r="C62" s="113" t="s">
        <v>643</v>
      </c>
      <c r="D62" s="113" t="s">
        <v>1003</v>
      </c>
      <c r="E62" s="113" t="s">
        <v>117</v>
      </c>
      <c r="F62" s="113" t="s">
        <v>806</v>
      </c>
      <c r="G62" s="113" t="s">
        <v>805</v>
      </c>
      <c r="H62" s="114">
        <v>32324</v>
      </c>
      <c r="I62" s="110">
        <v>36.5</v>
      </c>
      <c r="J62" s="113" t="s">
        <v>612</v>
      </c>
      <c r="K62" s="114">
        <v>44298</v>
      </c>
      <c r="L62" s="113" t="s">
        <v>48</v>
      </c>
      <c r="M62" s="115">
        <v>45758</v>
      </c>
    </row>
    <row r="63" spans="2:13" x14ac:dyDescent="0.35">
      <c r="B63" s="112" t="s">
        <v>1002</v>
      </c>
      <c r="C63" s="113" t="s">
        <v>667</v>
      </c>
      <c r="D63" s="113" t="s">
        <v>1003</v>
      </c>
      <c r="E63" s="113" t="s">
        <v>187</v>
      </c>
      <c r="F63" s="113" t="s">
        <v>703</v>
      </c>
      <c r="G63" s="113" t="s">
        <v>702</v>
      </c>
      <c r="H63" s="114">
        <v>25385</v>
      </c>
      <c r="I63" s="110">
        <v>55.51</v>
      </c>
      <c r="J63" s="113" t="s">
        <v>612</v>
      </c>
      <c r="K63" s="114">
        <v>44665</v>
      </c>
      <c r="L63" s="113" t="s">
        <v>48</v>
      </c>
      <c r="M63" s="115">
        <v>45761</v>
      </c>
    </row>
    <row r="64" spans="2:13" x14ac:dyDescent="0.35">
      <c r="B64" s="112" t="s">
        <v>1002</v>
      </c>
      <c r="C64" s="113" t="s">
        <v>648</v>
      </c>
      <c r="D64" s="113" t="s">
        <v>1003</v>
      </c>
      <c r="E64" s="113" t="s">
        <v>148</v>
      </c>
      <c r="F64" s="113" t="s">
        <v>750</v>
      </c>
      <c r="G64" s="113" t="s">
        <v>1075</v>
      </c>
      <c r="H64" s="114">
        <v>28567</v>
      </c>
      <c r="I64" s="110">
        <v>46.800000000000004</v>
      </c>
      <c r="J64" s="113" t="s">
        <v>612</v>
      </c>
      <c r="K64" s="114">
        <v>44666</v>
      </c>
      <c r="L64" s="113" t="s">
        <v>48</v>
      </c>
      <c r="M64" s="115">
        <v>45761</v>
      </c>
    </row>
    <row r="65" spans="2:13" x14ac:dyDescent="0.35">
      <c r="B65" s="112" t="s">
        <v>999</v>
      </c>
      <c r="C65" s="113" t="s">
        <v>622</v>
      </c>
      <c r="D65" s="113" t="s">
        <v>1022</v>
      </c>
      <c r="E65" s="113" t="s">
        <v>1076</v>
      </c>
      <c r="F65" s="113" t="s">
        <v>764</v>
      </c>
      <c r="G65" s="113" t="s">
        <v>1077</v>
      </c>
      <c r="H65" s="114">
        <v>32840</v>
      </c>
      <c r="I65" s="110">
        <v>35.090000000000003</v>
      </c>
      <c r="J65" s="113" t="s">
        <v>612</v>
      </c>
      <c r="K65" s="114">
        <v>44307</v>
      </c>
      <c r="L65" s="113" t="s">
        <v>48</v>
      </c>
      <c r="M65" s="115">
        <v>45767</v>
      </c>
    </row>
    <row r="66" spans="2:13" x14ac:dyDescent="0.35">
      <c r="B66" s="112" t="s">
        <v>999</v>
      </c>
      <c r="C66" s="113" t="s">
        <v>622</v>
      </c>
      <c r="D66" s="113" t="s">
        <v>1048</v>
      </c>
      <c r="E66" s="113" t="s">
        <v>1078</v>
      </c>
      <c r="F66" s="113" t="s">
        <v>747</v>
      </c>
      <c r="G66" s="113" t="s">
        <v>1079</v>
      </c>
      <c r="H66" s="114">
        <v>31602</v>
      </c>
      <c r="I66" s="110">
        <v>38.480000000000004</v>
      </c>
      <c r="J66" s="113" t="s">
        <v>640</v>
      </c>
      <c r="K66" s="114">
        <v>43945</v>
      </c>
      <c r="L66" s="113" t="s">
        <v>48</v>
      </c>
      <c r="M66" s="115">
        <v>45770</v>
      </c>
    </row>
    <row r="67" spans="2:13" x14ac:dyDescent="0.35">
      <c r="B67" s="112" t="s">
        <v>1008</v>
      </c>
      <c r="C67" s="113" t="s">
        <v>691</v>
      </c>
      <c r="D67" s="113" t="s">
        <v>1045</v>
      </c>
      <c r="E67" s="113" t="s">
        <v>1080</v>
      </c>
      <c r="F67" s="113" t="s">
        <v>625</v>
      </c>
      <c r="G67" s="113" t="s">
        <v>1081</v>
      </c>
      <c r="H67" s="114">
        <v>26186</v>
      </c>
      <c r="I67" s="110">
        <v>53.32</v>
      </c>
      <c r="J67" s="113" t="s">
        <v>612</v>
      </c>
      <c r="K67" s="114">
        <v>44676</v>
      </c>
      <c r="L67" s="113" t="s">
        <v>48</v>
      </c>
      <c r="M67" s="115">
        <v>45771</v>
      </c>
    </row>
    <row r="68" spans="2:13" x14ac:dyDescent="0.35">
      <c r="B68" s="112" t="s">
        <v>1008</v>
      </c>
      <c r="C68" s="113" t="s">
        <v>691</v>
      </c>
      <c r="D68" s="113" t="s">
        <v>1045</v>
      </c>
      <c r="E68" s="113" t="s">
        <v>1082</v>
      </c>
      <c r="F68" s="113" t="s">
        <v>1070</v>
      </c>
      <c r="G68" s="113" t="s">
        <v>1083</v>
      </c>
      <c r="H68" s="114">
        <v>29397</v>
      </c>
      <c r="I68" s="110">
        <v>44.52</v>
      </c>
      <c r="J68" s="113" t="s">
        <v>612</v>
      </c>
      <c r="K68" s="114">
        <v>44677</v>
      </c>
      <c r="L68" s="113" t="s">
        <v>48</v>
      </c>
      <c r="M68" s="115">
        <v>45772</v>
      </c>
    </row>
    <row r="69" spans="2:13" x14ac:dyDescent="0.35">
      <c r="B69" s="112" t="s">
        <v>999</v>
      </c>
      <c r="C69" s="113" t="s">
        <v>622</v>
      </c>
      <c r="D69" s="113" t="s">
        <v>1003</v>
      </c>
      <c r="E69" s="113" t="s">
        <v>1084</v>
      </c>
      <c r="F69" s="113" t="s">
        <v>1085</v>
      </c>
      <c r="G69" s="113" t="s">
        <v>1086</v>
      </c>
      <c r="H69" s="114">
        <v>31116</v>
      </c>
      <c r="I69" s="110">
        <v>39.81</v>
      </c>
      <c r="J69" s="113" t="s">
        <v>612</v>
      </c>
      <c r="K69" s="114">
        <v>44312</v>
      </c>
      <c r="L69" s="113" t="s">
        <v>48</v>
      </c>
      <c r="M69" s="115">
        <v>45772</v>
      </c>
    </row>
    <row r="70" spans="2:13" x14ac:dyDescent="0.35">
      <c r="B70" s="112" t="s">
        <v>999</v>
      </c>
      <c r="C70" s="113" t="s">
        <v>659</v>
      </c>
      <c r="D70" s="113" t="s">
        <v>1003</v>
      </c>
      <c r="E70" s="113" t="s">
        <v>1087</v>
      </c>
      <c r="F70" s="113" t="s">
        <v>730</v>
      </c>
      <c r="G70" s="113" t="s">
        <v>1088</v>
      </c>
      <c r="H70" s="114">
        <v>32387</v>
      </c>
      <c r="I70" s="110">
        <v>36.33</v>
      </c>
      <c r="J70" s="113" t="s">
        <v>612</v>
      </c>
      <c r="K70" s="114">
        <v>44312</v>
      </c>
      <c r="L70" s="113" t="s">
        <v>48</v>
      </c>
      <c r="M70" s="115">
        <v>45772</v>
      </c>
    </row>
    <row r="71" spans="2:13" x14ac:dyDescent="0.35">
      <c r="B71" s="112" t="s">
        <v>1002</v>
      </c>
      <c r="C71" s="113" t="s">
        <v>648</v>
      </c>
      <c r="D71" s="113" t="s">
        <v>1003</v>
      </c>
      <c r="E71" s="113" t="s">
        <v>75</v>
      </c>
      <c r="F71" s="113" t="s">
        <v>834</v>
      </c>
      <c r="G71" s="113" t="s">
        <v>833</v>
      </c>
      <c r="H71" s="114">
        <v>32263</v>
      </c>
      <c r="I71" s="110">
        <v>36.67</v>
      </c>
      <c r="J71" s="113" t="s">
        <v>612</v>
      </c>
      <c r="K71" s="114">
        <v>44315</v>
      </c>
      <c r="L71" s="113" t="s">
        <v>48</v>
      </c>
      <c r="M71" s="115">
        <v>45775</v>
      </c>
    </row>
    <row r="72" spans="2:13" x14ac:dyDescent="0.35">
      <c r="B72" s="112" t="s">
        <v>1002</v>
      </c>
      <c r="C72" s="113" t="s">
        <v>636</v>
      </c>
      <c r="D72" s="113" t="s">
        <v>1003</v>
      </c>
      <c r="E72" s="113" t="s">
        <v>94</v>
      </c>
      <c r="F72" s="113" t="s">
        <v>1089</v>
      </c>
      <c r="G72" s="113" t="s">
        <v>1090</v>
      </c>
      <c r="H72" s="114">
        <v>32360</v>
      </c>
      <c r="I72" s="110">
        <v>36.4</v>
      </c>
      <c r="J72" s="113" t="s">
        <v>612</v>
      </c>
      <c r="K72" s="114">
        <v>44319</v>
      </c>
      <c r="L72" s="113" t="s">
        <v>48</v>
      </c>
      <c r="M72" s="115">
        <v>45779</v>
      </c>
    </row>
    <row r="73" spans="2:13" x14ac:dyDescent="0.35">
      <c r="B73" s="112" t="s">
        <v>1008</v>
      </c>
      <c r="C73" s="113" t="s">
        <v>626</v>
      </c>
      <c r="D73" s="113" t="s">
        <v>1045</v>
      </c>
      <c r="E73" s="113" t="s">
        <v>1091</v>
      </c>
      <c r="F73" s="113" t="s">
        <v>1092</v>
      </c>
      <c r="G73" s="113" t="s">
        <v>1093</v>
      </c>
      <c r="H73" s="114">
        <v>26968</v>
      </c>
      <c r="I73" s="110">
        <v>51.18</v>
      </c>
      <c r="J73" s="113" t="s">
        <v>612</v>
      </c>
      <c r="K73" s="114">
        <v>44685</v>
      </c>
      <c r="L73" s="113" t="s">
        <v>48</v>
      </c>
      <c r="M73" s="115">
        <v>45780</v>
      </c>
    </row>
    <row r="74" spans="2:13" x14ac:dyDescent="0.35">
      <c r="B74" s="112" t="s">
        <v>1008</v>
      </c>
      <c r="C74" s="113" t="s">
        <v>630</v>
      </c>
      <c r="D74" s="113" t="s">
        <v>1003</v>
      </c>
      <c r="E74" s="113" t="s">
        <v>829</v>
      </c>
      <c r="F74" s="113" t="s">
        <v>703</v>
      </c>
      <c r="G74" s="113" t="s">
        <v>830</v>
      </c>
      <c r="H74" s="114">
        <v>32739</v>
      </c>
      <c r="I74" s="110">
        <v>35.369999999999997</v>
      </c>
      <c r="J74" s="113" t="s">
        <v>612</v>
      </c>
      <c r="K74" s="114">
        <v>44320</v>
      </c>
      <c r="L74" s="113" t="s">
        <v>48</v>
      </c>
      <c r="M74" s="115">
        <v>45780</v>
      </c>
    </row>
    <row r="75" spans="2:13" x14ac:dyDescent="0.35">
      <c r="B75" s="112" t="s">
        <v>1002</v>
      </c>
      <c r="C75" s="113" t="s">
        <v>733</v>
      </c>
      <c r="D75" s="113" t="s">
        <v>1003</v>
      </c>
      <c r="E75" s="113" t="s">
        <v>213</v>
      </c>
      <c r="F75" s="113" t="s">
        <v>828</v>
      </c>
      <c r="G75" s="113" t="s">
        <v>827</v>
      </c>
      <c r="H75" s="114">
        <v>31413</v>
      </c>
      <c r="I75" s="110">
        <v>39</v>
      </c>
      <c r="J75" s="113" t="s">
        <v>612</v>
      </c>
      <c r="K75" s="114">
        <v>44320</v>
      </c>
      <c r="L75" s="113" t="s">
        <v>48</v>
      </c>
      <c r="M75" s="115">
        <v>45780</v>
      </c>
    </row>
    <row r="76" spans="2:13" x14ac:dyDescent="0.35">
      <c r="B76" s="112" t="s">
        <v>999</v>
      </c>
      <c r="C76" s="113" t="s">
        <v>622</v>
      </c>
      <c r="D76" s="113" t="s">
        <v>1003</v>
      </c>
      <c r="E76" s="113" t="s">
        <v>1094</v>
      </c>
      <c r="F76" s="113" t="s">
        <v>629</v>
      </c>
      <c r="G76" s="113" t="s">
        <v>1095</v>
      </c>
      <c r="H76" s="114">
        <v>33240</v>
      </c>
      <c r="I76" s="110">
        <v>33.99</v>
      </c>
      <c r="J76" s="113" t="s">
        <v>612</v>
      </c>
      <c r="K76" s="114">
        <v>44322</v>
      </c>
      <c r="L76" s="113" t="s">
        <v>48</v>
      </c>
      <c r="M76" s="115">
        <v>45782</v>
      </c>
    </row>
    <row r="77" spans="2:13" x14ac:dyDescent="0.35">
      <c r="B77" s="112" t="s">
        <v>1002</v>
      </c>
      <c r="C77" s="113" t="s">
        <v>733</v>
      </c>
      <c r="D77" s="113" t="s">
        <v>1003</v>
      </c>
      <c r="E77" s="113" t="s">
        <v>107</v>
      </c>
      <c r="F77" s="113" t="s">
        <v>728</v>
      </c>
      <c r="G77" s="113" t="s">
        <v>1096</v>
      </c>
      <c r="H77" s="114">
        <v>31391</v>
      </c>
      <c r="I77" s="110">
        <v>39.06</v>
      </c>
      <c r="J77" s="113" t="s">
        <v>612</v>
      </c>
      <c r="K77" s="114">
        <v>44323</v>
      </c>
      <c r="L77" s="113" t="s">
        <v>48</v>
      </c>
      <c r="M77" s="115">
        <v>45783</v>
      </c>
    </row>
    <row r="78" spans="2:13" x14ac:dyDescent="0.35">
      <c r="B78" s="112" t="s">
        <v>1008</v>
      </c>
      <c r="C78" s="113" t="s">
        <v>691</v>
      </c>
      <c r="D78" s="113" t="s">
        <v>1045</v>
      </c>
      <c r="E78" s="113" t="s">
        <v>1097</v>
      </c>
      <c r="F78" s="113" t="s">
        <v>1098</v>
      </c>
      <c r="G78" s="113" t="s">
        <v>1099</v>
      </c>
      <c r="H78" s="114">
        <v>25750</v>
      </c>
      <c r="I78" s="110">
        <v>54.51</v>
      </c>
      <c r="J78" s="113" t="s">
        <v>612</v>
      </c>
      <c r="K78" s="114">
        <v>44691</v>
      </c>
      <c r="L78" s="113" t="s">
        <v>48</v>
      </c>
      <c r="M78" s="115">
        <v>45786</v>
      </c>
    </row>
    <row r="79" spans="2:13" x14ac:dyDescent="0.35">
      <c r="B79" s="112" t="s">
        <v>1002</v>
      </c>
      <c r="C79" s="113" t="s">
        <v>648</v>
      </c>
      <c r="D79" s="113" t="s">
        <v>1017</v>
      </c>
      <c r="E79" s="113" t="s">
        <v>1100</v>
      </c>
      <c r="F79" s="113" t="s">
        <v>1101</v>
      </c>
      <c r="G79" s="113" t="s">
        <v>1102</v>
      </c>
      <c r="H79" s="114">
        <v>25864</v>
      </c>
      <c r="I79" s="110">
        <v>54.2</v>
      </c>
      <c r="J79" s="113" t="s">
        <v>612</v>
      </c>
      <c r="K79" s="114">
        <v>44691</v>
      </c>
      <c r="L79" s="113" t="s">
        <v>48</v>
      </c>
      <c r="M79" s="115">
        <v>45786</v>
      </c>
    </row>
    <row r="80" spans="2:13" x14ac:dyDescent="0.35">
      <c r="B80" s="112" t="s">
        <v>999</v>
      </c>
      <c r="C80" s="113" t="s">
        <v>622</v>
      </c>
      <c r="D80" s="113" t="s">
        <v>1000</v>
      </c>
      <c r="E80" s="113" t="s">
        <v>1103</v>
      </c>
      <c r="F80" s="113" t="s">
        <v>1104</v>
      </c>
      <c r="G80" s="113" t="s">
        <v>1105</v>
      </c>
      <c r="H80" s="114">
        <v>35652</v>
      </c>
      <c r="I80" s="110">
        <v>27</v>
      </c>
      <c r="J80" s="113" t="s">
        <v>612</v>
      </c>
      <c r="K80" s="114">
        <v>44691</v>
      </c>
      <c r="L80" s="113" t="s">
        <v>1001</v>
      </c>
      <c r="M80" s="115">
        <v>45786</v>
      </c>
    </row>
    <row r="81" spans="2:13" x14ac:dyDescent="0.35">
      <c r="B81" s="112" t="s">
        <v>999</v>
      </c>
      <c r="C81" s="113" t="s">
        <v>659</v>
      </c>
      <c r="D81" s="113" t="s">
        <v>1003</v>
      </c>
      <c r="E81" s="113" t="s">
        <v>1106</v>
      </c>
      <c r="F81" s="113" t="s">
        <v>931</v>
      </c>
      <c r="G81" s="113" t="s">
        <v>1107</v>
      </c>
      <c r="H81" s="114">
        <v>31978</v>
      </c>
      <c r="I81" s="110">
        <v>37.450000000000003</v>
      </c>
      <c r="J81" s="113" t="s">
        <v>612</v>
      </c>
      <c r="K81" s="114">
        <v>44326</v>
      </c>
      <c r="L81" s="113" t="s">
        <v>48</v>
      </c>
      <c r="M81" s="115">
        <v>45786</v>
      </c>
    </row>
    <row r="82" spans="2:13" x14ac:dyDescent="0.35">
      <c r="B82" s="112" t="s">
        <v>999</v>
      </c>
      <c r="C82" s="113" t="s">
        <v>659</v>
      </c>
      <c r="D82" s="113" t="s">
        <v>1003</v>
      </c>
      <c r="E82" s="113" t="s">
        <v>1108</v>
      </c>
      <c r="F82" s="113" t="s">
        <v>616</v>
      </c>
      <c r="G82" s="113" t="s">
        <v>1109</v>
      </c>
      <c r="H82" s="114">
        <v>31977</v>
      </c>
      <c r="I82" s="110">
        <v>37.450000000000003</v>
      </c>
      <c r="J82" s="113" t="s">
        <v>612</v>
      </c>
      <c r="K82" s="114">
        <v>44326</v>
      </c>
      <c r="L82" s="113" t="s">
        <v>48</v>
      </c>
      <c r="M82" s="115">
        <v>45786</v>
      </c>
    </row>
    <row r="83" spans="2:13" x14ac:dyDescent="0.35">
      <c r="B83" s="112" t="s">
        <v>1002</v>
      </c>
      <c r="C83" s="113" t="s">
        <v>648</v>
      </c>
      <c r="D83" s="113" t="s">
        <v>1003</v>
      </c>
      <c r="E83" s="113" t="s">
        <v>161</v>
      </c>
      <c r="F83" s="113" t="s">
        <v>728</v>
      </c>
      <c r="G83" s="113" t="s">
        <v>842</v>
      </c>
      <c r="H83" s="114">
        <v>29768</v>
      </c>
      <c r="I83" s="110">
        <v>43.51</v>
      </c>
      <c r="J83" s="113" t="s">
        <v>612</v>
      </c>
      <c r="K83" s="114">
        <v>44692</v>
      </c>
      <c r="L83" s="113" t="s">
        <v>48</v>
      </c>
      <c r="M83" s="115">
        <v>45787</v>
      </c>
    </row>
    <row r="84" spans="2:13" x14ac:dyDescent="0.35">
      <c r="B84" s="112" t="s">
        <v>1002</v>
      </c>
      <c r="C84" s="113" t="s">
        <v>643</v>
      </c>
      <c r="D84" s="113" t="s">
        <v>1000</v>
      </c>
      <c r="E84" s="113" t="s">
        <v>252</v>
      </c>
      <c r="F84" s="113" t="s">
        <v>841</v>
      </c>
      <c r="G84" s="113" t="s">
        <v>840</v>
      </c>
      <c r="H84" s="114">
        <v>26081</v>
      </c>
      <c r="I84" s="110">
        <v>53.61</v>
      </c>
      <c r="J84" s="113" t="s">
        <v>612</v>
      </c>
      <c r="K84" s="114">
        <v>44693</v>
      </c>
      <c r="L84" s="113" t="s">
        <v>48</v>
      </c>
      <c r="M84" s="115">
        <v>45788</v>
      </c>
    </row>
    <row r="85" spans="2:13" x14ac:dyDescent="0.35">
      <c r="B85" s="112" t="s">
        <v>1002</v>
      </c>
      <c r="C85" s="113" t="s">
        <v>648</v>
      </c>
      <c r="D85" s="113" t="s">
        <v>1003</v>
      </c>
      <c r="E85" s="113" t="s">
        <v>360</v>
      </c>
      <c r="F85" s="113" t="s">
        <v>709</v>
      </c>
      <c r="G85" s="113" t="s">
        <v>970</v>
      </c>
      <c r="H85" s="114">
        <v>24789</v>
      </c>
      <c r="I85" s="110">
        <v>57.15</v>
      </c>
      <c r="J85" s="113" t="s">
        <v>612</v>
      </c>
      <c r="K85" s="114">
        <v>45426</v>
      </c>
      <c r="L85" s="113" t="s">
        <v>48</v>
      </c>
      <c r="M85" s="115">
        <v>45791</v>
      </c>
    </row>
    <row r="86" spans="2:13" x14ac:dyDescent="0.35">
      <c r="B86" s="112" t="s">
        <v>1002</v>
      </c>
      <c r="C86" s="113" t="s">
        <v>643</v>
      </c>
      <c r="D86" s="113" t="s">
        <v>1003</v>
      </c>
      <c r="E86" s="113" t="s">
        <v>95</v>
      </c>
      <c r="F86" s="113" t="s">
        <v>661</v>
      </c>
      <c r="G86" s="113" t="s">
        <v>660</v>
      </c>
      <c r="H86" s="114">
        <v>28672</v>
      </c>
      <c r="I86" s="110">
        <v>46.51</v>
      </c>
      <c r="J86" s="113" t="s">
        <v>612</v>
      </c>
      <c r="K86" s="114">
        <v>44698</v>
      </c>
      <c r="L86" s="113" t="s">
        <v>48</v>
      </c>
      <c r="M86" s="115">
        <v>45793</v>
      </c>
    </row>
    <row r="87" spans="2:13" x14ac:dyDescent="0.35">
      <c r="B87" s="112" t="s">
        <v>1002</v>
      </c>
      <c r="C87" s="113" t="s">
        <v>648</v>
      </c>
      <c r="D87" s="113" t="s">
        <v>1000</v>
      </c>
      <c r="E87" s="113" t="s">
        <v>279</v>
      </c>
      <c r="F87" s="113" t="s">
        <v>629</v>
      </c>
      <c r="G87" s="113" t="s">
        <v>1110</v>
      </c>
      <c r="H87" s="114">
        <v>26870</v>
      </c>
      <c r="I87" s="110">
        <v>51.45</v>
      </c>
      <c r="J87" s="113" t="s">
        <v>612</v>
      </c>
      <c r="K87" s="114">
        <v>44698</v>
      </c>
      <c r="L87" s="113" t="s">
        <v>48</v>
      </c>
      <c r="M87" s="115">
        <v>45793</v>
      </c>
    </row>
    <row r="88" spans="2:13" x14ac:dyDescent="0.35">
      <c r="B88" s="112" t="s">
        <v>999</v>
      </c>
      <c r="C88" s="113" t="s">
        <v>622</v>
      </c>
      <c r="D88" s="113" t="s">
        <v>1003</v>
      </c>
      <c r="E88" s="113" t="s">
        <v>1111</v>
      </c>
      <c r="F88" s="113" t="s">
        <v>703</v>
      </c>
      <c r="G88" s="113" t="s">
        <v>1112</v>
      </c>
      <c r="H88" s="114">
        <v>33196</v>
      </c>
      <c r="I88" s="110">
        <v>34.11</v>
      </c>
      <c r="J88" s="113" t="s">
        <v>612</v>
      </c>
      <c r="K88" s="114">
        <v>44334</v>
      </c>
      <c r="L88" s="113" t="s">
        <v>48</v>
      </c>
      <c r="M88" s="115">
        <v>45794</v>
      </c>
    </row>
    <row r="89" spans="2:13" x14ac:dyDescent="0.35">
      <c r="B89" s="112" t="s">
        <v>1002</v>
      </c>
      <c r="C89" s="113" t="s">
        <v>643</v>
      </c>
      <c r="D89" s="113" t="s">
        <v>1003</v>
      </c>
      <c r="E89" s="113" t="s">
        <v>118</v>
      </c>
      <c r="F89" s="113" t="s">
        <v>848</v>
      </c>
      <c r="G89" s="113" t="s">
        <v>847</v>
      </c>
      <c r="H89" s="114">
        <v>33680</v>
      </c>
      <c r="I89" s="110">
        <v>32.79</v>
      </c>
      <c r="J89" s="113" t="s">
        <v>612</v>
      </c>
      <c r="K89" s="114">
        <v>44335</v>
      </c>
      <c r="L89" s="113" t="s">
        <v>48</v>
      </c>
      <c r="M89" s="115">
        <v>45795</v>
      </c>
    </row>
    <row r="90" spans="2:13" x14ac:dyDescent="0.35">
      <c r="B90" s="112" t="s">
        <v>1002</v>
      </c>
      <c r="C90" s="113" t="s">
        <v>643</v>
      </c>
      <c r="D90" s="113" t="s">
        <v>1003</v>
      </c>
      <c r="E90" s="113" t="s">
        <v>153</v>
      </c>
      <c r="F90" s="113" t="s">
        <v>609</v>
      </c>
      <c r="G90" s="113" t="s">
        <v>1113</v>
      </c>
      <c r="H90" s="114">
        <v>33117</v>
      </c>
      <c r="I90" s="110">
        <v>34.33</v>
      </c>
      <c r="J90" s="113" t="s">
        <v>612</v>
      </c>
      <c r="K90" s="114">
        <v>44335</v>
      </c>
      <c r="L90" s="113" t="s">
        <v>48</v>
      </c>
      <c r="M90" s="115">
        <v>45795</v>
      </c>
    </row>
    <row r="91" spans="2:13" x14ac:dyDescent="0.35">
      <c r="B91" s="112" t="s">
        <v>1002</v>
      </c>
      <c r="C91" s="113" t="s">
        <v>733</v>
      </c>
      <c r="D91" s="113" t="s">
        <v>1003</v>
      </c>
      <c r="E91" s="113" t="s">
        <v>125</v>
      </c>
      <c r="F91" s="113" t="s">
        <v>629</v>
      </c>
      <c r="G91" s="113" t="s">
        <v>856</v>
      </c>
      <c r="H91" s="114">
        <v>32489</v>
      </c>
      <c r="I91" s="110">
        <v>36.050000000000004</v>
      </c>
      <c r="J91" s="113" t="s">
        <v>612</v>
      </c>
      <c r="K91" s="114">
        <v>44336</v>
      </c>
      <c r="L91" s="113" t="s">
        <v>48</v>
      </c>
      <c r="M91" s="115">
        <v>45796</v>
      </c>
    </row>
    <row r="92" spans="2:13" x14ac:dyDescent="0.35">
      <c r="B92" s="112" t="s">
        <v>999</v>
      </c>
      <c r="C92" s="113" t="s">
        <v>622</v>
      </c>
      <c r="D92" s="113" t="s">
        <v>1003</v>
      </c>
      <c r="E92" s="113" t="s">
        <v>1114</v>
      </c>
      <c r="F92" s="113" t="s">
        <v>703</v>
      </c>
      <c r="G92" s="113" t="s">
        <v>1115</v>
      </c>
      <c r="H92" s="114">
        <v>34125</v>
      </c>
      <c r="I92" s="110">
        <v>31.57</v>
      </c>
      <c r="J92" s="113" t="s">
        <v>612</v>
      </c>
      <c r="K92" s="114">
        <v>44337</v>
      </c>
      <c r="L92" s="113" t="s">
        <v>48</v>
      </c>
      <c r="M92" s="115">
        <v>45797</v>
      </c>
    </row>
    <row r="93" spans="2:13" x14ac:dyDescent="0.35">
      <c r="B93" s="112" t="s">
        <v>999</v>
      </c>
      <c r="C93" s="113" t="s">
        <v>622</v>
      </c>
      <c r="D93" s="113" t="s">
        <v>1003</v>
      </c>
      <c r="E93" s="113" t="s">
        <v>1116</v>
      </c>
      <c r="F93" s="113" t="s">
        <v>764</v>
      </c>
      <c r="G93" s="113" t="s">
        <v>1117</v>
      </c>
      <c r="H93" s="114">
        <v>32690</v>
      </c>
      <c r="I93" s="110">
        <v>35.5</v>
      </c>
      <c r="J93" s="113" t="s">
        <v>612</v>
      </c>
      <c r="K93" s="114">
        <v>44340</v>
      </c>
      <c r="L93" s="113" t="s">
        <v>48</v>
      </c>
      <c r="M93" s="115">
        <v>45800</v>
      </c>
    </row>
    <row r="94" spans="2:13" x14ac:dyDescent="0.35">
      <c r="B94" s="112" t="s">
        <v>999</v>
      </c>
      <c r="C94" s="113" t="s">
        <v>617</v>
      </c>
      <c r="D94" s="113" t="s">
        <v>1017</v>
      </c>
      <c r="E94" s="113" t="s">
        <v>721</v>
      </c>
      <c r="F94" s="113" t="s">
        <v>660</v>
      </c>
      <c r="G94" s="113" t="s">
        <v>696</v>
      </c>
      <c r="H94" s="114">
        <v>25934</v>
      </c>
      <c r="I94" s="110">
        <v>54.01</v>
      </c>
      <c r="J94" s="113" t="s">
        <v>612</v>
      </c>
      <c r="K94" s="114">
        <v>44708</v>
      </c>
      <c r="L94" s="113" t="s">
        <v>48</v>
      </c>
      <c r="M94" s="115">
        <v>45803</v>
      </c>
    </row>
    <row r="95" spans="2:13" x14ac:dyDescent="0.35">
      <c r="B95" s="112" t="s">
        <v>999</v>
      </c>
      <c r="C95" s="113" t="s">
        <v>617</v>
      </c>
      <c r="D95" s="113" t="s">
        <v>1017</v>
      </c>
      <c r="E95" s="113" t="s">
        <v>843</v>
      </c>
      <c r="F95" s="113" t="s">
        <v>661</v>
      </c>
      <c r="G95" s="113" t="s">
        <v>844</v>
      </c>
      <c r="H95" s="114">
        <v>25580</v>
      </c>
      <c r="I95" s="110">
        <v>54.980000000000004</v>
      </c>
      <c r="J95" s="113" t="s">
        <v>612</v>
      </c>
      <c r="K95" s="114">
        <v>44712</v>
      </c>
      <c r="L95" s="113" t="s">
        <v>48</v>
      </c>
      <c r="M95" s="115">
        <v>45807</v>
      </c>
    </row>
    <row r="96" spans="2:13" x14ac:dyDescent="0.35">
      <c r="B96" s="112" t="s">
        <v>1002</v>
      </c>
      <c r="C96" s="113" t="s">
        <v>667</v>
      </c>
      <c r="D96" s="113" t="s">
        <v>1000</v>
      </c>
      <c r="E96" s="113" t="s">
        <v>293</v>
      </c>
      <c r="F96" s="113" t="s">
        <v>629</v>
      </c>
      <c r="G96" s="113" t="s">
        <v>1118</v>
      </c>
      <c r="H96" s="114">
        <v>28219</v>
      </c>
      <c r="I96" s="110">
        <v>47.75</v>
      </c>
      <c r="J96" s="113" t="s">
        <v>612</v>
      </c>
      <c r="K96" s="114">
        <v>44713</v>
      </c>
      <c r="L96" s="113" t="s">
        <v>48</v>
      </c>
      <c r="M96" s="115">
        <v>45808</v>
      </c>
    </row>
    <row r="97" spans="2:13" x14ac:dyDescent="0.35">
      <c r="B97" s="112" t="s">
        <v>1008</v>
      </c>
      <c r="C97" s="113" t="s">
        <v>691</v>
      </c>
      <c r="D97" s="113" t="s">
        <v>1045</v>
      </c>
      <c r="E97" s="113" t="s">
        <v>1119</v>
      </c>
      <c r="F97" s="113" t="s">
        <v>703</v>
      </c>
      <c r="G97" s="113" t="s">
        <v>1120</v>
      </c>
      <c r="H97" s="114">
        <v>26640</v>
      </c>
      <c r="I97" s="110">
        <v>52.08</v>
      </c>
      <c r="J97" s="113" t="s">
        <v>612</v>
      </c>
      <c r="K97" s="114">
        <v>44719</v>
      </c>
      <c r="L97" s="113" t="s">
        <v>48</v>
      </c>
      <c r="M97" s="115">
        <v>45814</v>
      </c>
    </row>
    <row r="98" spans="2:13" x14ac:dyDescent="0.35">
      <c r="B98" s="112" t="s">
        <v>1008</v>
      </c>
      <c r="C98" s="113" t="s">
        <v>626</v>
      </c>
      <c r="D98" s="113" t="s">
        <v>1045</v>
      </c>
      <c r="E98" s="113" t="s">
        <v>870</v>
      </c>
      <c r="F98" s="113" t="s">
        <v>872</v>
      </c>
      <c r="G98" s="113" t="s">
        <v>871</v>
      </c>
      <c r="H98" s="114">
        <v>29222</v>
      </c>
      <c r="I98" s="110">
        <v>45</v>
      </c>
      <c r="J98" s="113" t="s">
        <v>612</v>
      </c>
      <c r="K98" s="114">
        <v>44719</v>
      </c>
      <c r="L98" s="113" t="s">
        <v>48</v>
      </c>
      <c r="M98" s="115">
        <v>45814</v>
      </c>
    </row>
    <row r="99" spans="2:13" x14ac:dyDescent="0.35">
      <c r="B99" s="112" t="s">
        <v>1002</v>
      </c>
      <c r="C99" s="113" t="s">
        <v>667</v>
      </c>
      <c r="D99" s="113" t="s">
        <v>1003</v>
      </c>
      <c r="E99" s="113" t="s">
        <v>212</v>
      </c>
      <c r="F99" s="113" t="s">
        <v>661</v>
      </c>
      <c r="G99" s="113" t="s">
        <v>986</v>
      </c>
      <c r="H99" s="114">
        <v>25991</v>
      </c>
      <c r="I99" s="110">
        <v>53.85</v>
      </c>
      <c r="J99" s="113" t="s">
        <v>612</v>
      </c>
      <c r="K99" s="114">
        <v>44719</v>
      </c>
      <c r="L99" s="113" t="s">
        <v>48</v>
      </c>
      <c r="M99" s="115">
        <v>45814</v>
      </c>
    </row>
    <row r="100" spans="2:13" x14ac:dyDescent="0.35">
      <c r="B100" s="112" t="s">
        <v>1008</v>
      </c>
      <c r="C100" s="113" t="s">
        <v>630</v>
      </c>
      <c r="D100" s="113" t="s">
        <v>1000</v>
      </c>
      <c r="E100" s="113" t="s">
        <v>891</v>
      </c>
      <c r="F100" s="113" t="s">
        <v>893</v>
      </c>
      <c r="G100" s="113" t="s">
        <v>892</v>
      </c>
      <c r="H100" s="114">
        <v>24038</v>
      </c>
      <c r="I100" s="110">
        <v>59.2</v>
      </c>
      <c r="J100" s="113" t="s">
        <v>612</v>
      </c>
      <c r="K100" s="114">
        <v>45086</v>
      </c>
      <c r="L100" s="113" t="s">
        <v>1121</v>
      </c>
      <c r="M100" s="115">
        <v>45816</v>
      </c>
    </row>
    <row r="101" spans="2:13" x14ac:dyDescent="0.35">
      <c r="B101" s="112" t="s">
        <v>1002</v>
      </c>
      <c r="C101" s="113" t="s">
        <v>667</v>
      </c>
      <c r="D101" s="113" t="s">
        <v>1003</v>
      </c>
      <c r="E101" s="113" t="s">
        <v>206</v>
      </c>
      <c r="F101" s="113" t="s">
        <v>855</v>
      </c>
      <c r="G101" s="113" t="s">
        <v>1122</v>
      </c>
      <c r="H101" s="114">
        <v>26950</v>
      </c>
      <c r="I101" s="110">
        <v>51.230000000000004</v>
      </c>
      <c r="J101" s="113" t="s">
        <v>612</v>
      </c>
      <c r="K101" s="114">
        <v>44721</v>
      </c>
      <c r="L101" s="113" t="s">
        <v>48</v>
      </c>
      <c r="M101" s="115">
        <v>45816</v>
      </c>
    </row>
    <row r="102" spans="2:13" x14ac:dyDescent="0.35">
      <c r="B102" s="112" t="s">
        <v>1008</v>
      </c>
      <c r="C102" s="113" t="s">
        <v>630</v>
      </c>
      <c r="D102" s="113" t="s">
        <v>1004</v>
      </c>
      <c r="E102" s="113" t="s">
        <v>1123</v>
      </c>
      <c r="F102" s="113" t="s">
        <v>767</v>
      </c>
      <c r="G102" s="113" t="s">
        <v>1124</v>
      </c>
      <c r="H102" s="114">
        <v>35136</v>
      </c>
      <c r="I102" s="110">
        <v>28.8</v>
      </c>
      <c r="J102" s="113" t="s">
        <v>612</v>
      </c>
      <c r="K102" s="114">
        <v>44357</v>
      </c>
      <c r="L102" s="113" t="s">
        <v>48</v>
      </c>
      <c r="M102" s="115">
        <v>45817</v>
      </c>
    </row>
    <row r="103" spans="2:13" x14ac:dyDescent="0.35">
      <c r="B103" s="112" t="s">
        <v>1002</v>
      </c>
      <c r="C103" s="113" t="s">
        <v>648</v>
      </c>
      <c r="D103" s="113" t="s">
        <v>1005</v>
      </c>
      <c r="E103" s="113" t="s">
        <v>462</v>
      </c>
      <c r="F103" s="113" t="s">
        <v>633</v>
      </c>
      <c r="G103" s="113" t="s">
        <v>1125</v>
      </c>
      <c r="H103" s="114">
        <v>33199</v>
      </c>
      <c r="I103" s="110">
        <v>34.11</v>
      </c>
      <c r="J103" s="113" t="s">
        <v>640</v>
      </c>
      <c r="K103" s="114">
        <v>43994</v>
      </c>
      <c r="L103" s="113" t="s">
        <v>48</v>
      </c>
      <c r="M103" s="115">
        <v>45819</v>
      </c>
    </row>
    <row r="104" spans="2:13" x14ac:dyDescent="0.35">
      <c r="B104" s="112" t="s">
        <v>1008</v>
      </c>
      <c r="C104" s="113" t="s">
        <v>626</v>
      </c>
      <c r="D104" s="113" t="s">
        <v>1045</v>
      </c>
      <c r="E104" s="113" t="s">
        <v>876</v>
      </c>
      <c r="F104" s="113" t="s">
        <v>841</v>
      </c>
      <c r="G104" s="113" t="s">
        <v>877</v>
      </c>
      <c r="H104" s="114">
        <v>29876</v>
      </c>
      <c r="I104" s="110">
        <v>43.21</v>
      </c>
      <c r="J104" s="113" t="s">
        <v>612</v>
      </c>
      <c r="K104" s="114">
        <v>44725</v>
      </c>
      <c r="L104" s="113" t="s">
        <v>48</v>
      </c>
      <c r="M104" s="115">
        <v>45820</v>
      </c>
    </row>
    <row r="105" spans="2:13" x14ac:dyDescent="0.35">
      <c r="B105" s="112" t="s">
        <v>999</v>
      </c>
      <c r="C105" s="113" t="s">
        <v>622</v>
      </c>
      <c r="D105" s="113" t="s">
        <v>1003</v>
      </c>
      <c r="E105" s="113" t="s">
        <v>1126</v>
      </c>
      <c r="F105" s="113" t="s">
        <v>1127</v>
      </c>
      <c r="G105" s="113" t="s">
        <v>1128</v>
      </c>
      <c r="H105" s="114">
        <v>32874</v>
      </c>
      <c r="I105" s="110">
        <v>35</v>
      </c>
      <c r="J105" s="113" t="s">
        <v>612</v>
      </c>
      <c r="K105" s="114">
        <v>44362</v>
      </c>
      <c r="L105" s="113" t="s">
        <v>48</v>
      </c>
      <c r="M105" s="115">
        <v>45822</v>
      </c>
    </row>
    <row r="106" spans="2:13" x14ac:dyDescent="0.35">
      <c r="B106" s="112" t="s">
        <v>999</v>
      </c>
      <c r="C106" s="113" t="s">
        <v>622</v>
      </c>
      <c r="D106" s="113" t="s">
        <v>1003</v>
      </c>
      <c r="E106" s="113" t="s">
        <v>1129</v>
      </c>
      <c r="F106" s="113" t="s">
        <v>625</v>
      </c>
      <c r="G106" s="113" t="s">
        <v>1130</v>
      </c>
      <c r="H106" s="114">
        <v>31079</v>
      </c>
      <c r="I106" s="110">
        <v>39.910000000000004</v>
      </c>
      <c r="J106" s="113" t="s">
        <v>612</v>
      </c>
      <c r="K106" s="114">
        <v>44362</v>
      </c>
      <c r="L106" s="113" t="s">
        <v>48</v>
      </c>
      <c r="M106" s="115">
        <v>45822</v>
      </c>
    </row>
    <row r="107" spans="2:13" x14ac:dyDescent="0.35">
      <c r="B107" s="112" t="s">
        <v>1002</v>
      </c>
      <c r="C107" s="113" t="s">
        <v>648</v>
      </c>
      <c r="D107" s="113" t="s">
        <v>1022</v>
      </c>
      <c r="E107" s="113" t="s">
        <v>560</v>
      </c>
      <c r="F107" s="113" t="s">
        <v>1131</v>
      </c>
      <c r="G107" s="113" t="s">
        <v>1132</v>
      </c>
      <c r="H107" s="114">
        <v>31828</v>
      </c>
      <c r="I107" s="110">
        <v>37.86</v>
      </c>
      <c r="J107" s="113" t="s">
        <v>612</v>
      </c>
      <c r="K107" s="114">
        <v>44364</v>
      </c>
      <c r="L107" s="113" t="s">
        <v>48</v>
      </c>
      <c r="M107" s="115">
        <v>45824</v>
      </c>
    </row>
    <row r="108" spans="2:13" x14ac:dyDescent="0.35">
      <c r="B108" s="112" t="s">
        <v>1002</v>
      </c>
      <c r="C108" s="113" t="s">
        <v>636</v>
      </c>
      <c r="D108" s="113" t="s">
        <v>1022</v>
      </c>
      <c r="E108" s="113" t="s">
        <v>516</v>
      </c>
      <c r="F108" s="113" t="s">
        <v>761</v>
      </c>
      <c r="G108" s="113" t="s">
        <v>1133</v>
      </c>
      <c r="H108" s="114">
        <v>32233</v>
      </c>
      <c r="I108" s="110">
        <v>36.75</v>
      </c>
      <c r="J108" s="113" t="s">
        <v>612</v>
      </c>
      <c r="K108" s="114">
        <v>44364</v>
      </c>
      <c r="L108" s="113" t="s">
        <v>48</v>
      </c>
      <c r="M108" s="115">
        <v>45824</v>
      </c>
    </row>
    <row r="109" spans="2:13" x14ac:dyDescent="0.35">
      <c r="B109" s="112" t="s">
        <v>999</v>
      </c>
      <c r="C109" s="113" t="s">
        <v>659</v>
      </c>
      <c r="D109" s="113" t="s">
        <v>1003</v>
      </c>
      <c r="E109" s="113" t="s">
        <v>1134</v>
      </c>
      <c r="F109" s="113" t="s">
        <v>1041</v>
      </c>
      <c r="G109" s="113" t="s">
        <v>1135</v>
      </c>
      <c r="H109" s="114">
        <v>34219</v>
      </c>
      <c r="I109" s="110">
        <v>31.310000000000002</v>
      </c>
      <c r="J109" s="113" t="s">
        <v>612</v>
      </c>
      <c r="K109" s="114">
        <v>44364</v>
      </c>
      <c r="L109" s="113" t="s">
        <v>48</v>
      </c>
      <c r="M109" s="115">
        <v>45824</v>
      </c>
    </row>
    <row r="110" spans="2:13" x14ac:dyDescent="0.35">
      <c r="B110" s="112" t="s">
        <v>999</v>
      </c>
      <c r="C110" s="113" t="s">
        <v>622</v>
      </c>
      <c r="D110" s="113" t="s">
        <v>1003</v>
      </c>
      <c r="E110" s="113" t="s">
        <v>1136</v>
      </c>
      <c r="F110" s="113" t="s">
        <v>1137</v>
      </c>
      <c r="G110" s="113" t="s">
        <v>1138</v>
      </c>
      <c r="H110" s="114">
        <v>33668</v>
      </c>
      <c r="I110" s="110">
        <v>32.82</v>
      </c>
      <c r="J110" s="113" t="s">
        <v>612</v>
      </c>
      <c r="K110" s="114">
        <v>44365</v>
      </c>
      <c r="L110" s="113" t="s">
        <v>48</v>
      </c>
      <c r="M110" s="115">
        <v>45825</v>
      </c>
    </row>
    <row r="111" spans="2:13" x14ac:dyDescent="0.35">
      <c r="B111" s="112" t="s">
        <v>1002</v>
      </c>
      <c r="C111" s="113" t="s">
        <v>643</v>
      </c>
      <c r="D111" s="113" t="s">
        <v>1005</v>
      </c>
      <c r="E111" s="113" t="s">
        <v>450</v>
      </c>
      <c r="F111" s="113" t="s">
        <v>750</v>
      </c>
      <c r="G111" s="113" t="s">
        <v>1139</v>
      </c>
      <c r="H111" s="114">
        <v>26951</v>
      </c>
      <c r="I111" s="110">
        <v>51.22</v>
      </c>
      <c r="J111" s="113" t="s">
        <v>640</v>
      </c>
      <c r="K111" s="114">
        <v>44732</v>
      </c>
      <c r="L111" s="113" t="s">
        <v>48</v>
      </c>
      <c r="M111" s="115">
        <v>45827</v>
      </c>
    </row>
    <row r="112" spans="2:13" x14ac:dyDescent="0.35">
      <c r="B112" s="112" t="s">
        <v>999</v>
      </c>
      <c r="C112" s="113" t="s">
        <v>622</v>
      </c>
      <c r="D112" s="113" t="s">
        <v>1022</v>
      </c>
      <c r="E112" s="113" t="s">
        <v>1140</v>
      </c>
      <c r="F112" s="113" t="s">
        <v>633</v>
      </c>
      <c r="G112" s="113" t="s">
        <v>1141</v>
      </c>
      <c r="H112" s="114">
        <v>31887</v>
      </c>
      <c r="I112" s="110">
        <v>37.700000000000003</v>
      </c>
      <c r="J112" s="113" t="s">
        <v>612</v>
      </c>
      <c r="K112" s="114">
        <v>44368</v>
      </c>
      <c r="L112" s="113" t="s">
        <v>48</v>
      </c>
      <c r="M112" s="115">
        <v>45828</v>
      </c>
    </row>
    <row r="113" spans="2:13" x14ac:dyDescent="0.35">
      <c r="B113" s="112" t="s">
        <v>1008</v>
      </c>
      <c r="C113" s="113" t="s">
        <v>630</v>
      </c>
      <c r="D113" s="113" t="s">
        <v>1003</v>
      </c>
      <c r="E113" s="113" t="s">
        <v>1142</v>
      </c>
      <c r="F113" s="113" t="s">
        <v>1143</v>
      </c>
      <c r="G113" s="113" t="s">
        <v>1144</v>
      </c>
      <c r="H113" s="114">
        <v>32109</v>
      </c>
      <c r="I113" s="110">
        <v>37.090000000000003</v>
      </c>
      <c r="J113" s="113" t="s">
        <v>612</v>
      </c>
      <c r="K113" s="114">
        <v>44369</v>
      </c>
      <c r="L113" s="113" t="s">
        <v>48</v>
      </c>
      <c r="M113" s="115">
        <v>45829</v>
      </c>
    </row>
    <row r="114" spans="2:13" x14ac:dyDescent="0.35">
      <c r="B114" s="112" t="s">
        <v>999</v>
      </c>
      <c r="C114" s="113" t="s">
        <v>622</v>
      </c>
      <c r="D114" s="113" t="s">
        <v>1003</v>
      </c>
      <c r="E114" s="113" t="s">
        <v>1145</v>
      </c>
      <c r="F114" s="113" t="s">
        <v>633</v>
      </c>
      <c r="G114" s="113" t="s">
        <v>1146</v>
      </c>
      <c r="H114" s="114">
        <v>32248</v>
      </c>
      <c r="I114" s="110">
        <v>36.71</v>
      </c>
      <c r="J114" s="113" t="s">
        <v>612</v>
      </c>
      <c r="K114" s="114">
        <v>44369</v>
      </c>
      <c r="L114" s="113" t="s">
        <v>48</v>
      </c>
      <c r="M114" s="115">
        <v>45829</v>
      </c>
    </row>
    <row r="115" spans="2:13" x14ac:dyDescent="0.35">
      <c r="B115" s="112" t="s">
        <v>999</v>
      </c>
      <c r="C115" s="113" t="s">
        <v>622</v>
      </c>
      <c r="D115" s="113" t="s">
        <v>1003</v>
      </c>
      <c r="E115" s="113" t="s">
        <v>1147</v>
      </c>
      <c r="F115" s="113" t="s">
        <v>1148</v>
      </c>
      <c r="G115" s="113" t="s">
        <v>1149</v>
      </c>
      <c r="H115" s="114">
        <v>34042</v>
      </c>
      <c r="I115" s="110">
        <v>31.8</v>
      </c>
      <c r="J115" s="113" t="s">
        <v>612</v>
      </c>
      <c r="K115" s="114">
        <v>44371</v>
      </c>
      <c r="L115" s="113" t="s">
        <v>48</v>
      </c>
      <c r="M115" s="115">
        <v>45831</v>
      </c>
    </row>
    <row r="116" spans="2:13" x14ac:dyDescent="0.35">
      <c r="B116" s="112" t="s">
        <v>1002</v>
      </c>
      <c r="C116" s="113" t="s">
        <v>636</v>
      </c>
      <c r="D116" s="113" t="s">
        <v>1048</v>
      </c>
      <c r="E116" s="113" t="s">
        <v>456</v>
      </c>
      <c r="F116" s="113" t="s">
        <v>755</v>
      </c>
      <c r="G116" s="113" t="s">
        <v>1150</v>
      </c>
      <c r="H116" s="114">
        <v>30822</v>
      </c>
      <c r="I116" s="110">
        <v>40.619999999999997</v>
      </c>
      <c r="J116" s="113" t="s">
        <v>640</v>
      </c>
      <c r="K116" s="114">
        <v>44742</v>
      </c>
      <c r="L116" s="113" t="s">
        <v>48</v>
      </c>
      <c r="M116" s="115">
        <v>45837</v>
      </c>
    </row>
    <row r="117" spans="2:13" x14ac:dyDescent="0.35">
      <c r="B117" s="112" t="s">
        <v>999</v>
      </c>
      <c r="C117" s="113" t="s">
        <v>622</v>
      </c>
      <c r="D117" s="113" t="s">
        <v>1000</v>
      </c>
      <c r="E117" s="113" t="s">
        <v>1151</v>
      </c>
      <c r="F117" s="113" t="s">
        <v>747</v>
      </c>
      <c r="G117" s="113" t="s">
        <v>1152</v>
      </c>
      <c r="H117" s="114">
        <v>33682</v>
      </c>
      <c r="I117" s="110">
        <v>32.78</v>
      </c>
      <c r="J117" s="113" t="s">
        <v>612</v>
      </c>
      <c r="K117" s="114">
        <v>44377</v>
      </c>
      <c r="L117" s="113" t="s">
        <v>48</v>
      </c>
      <c r="M117" s="115">
        <v>45837</v>
      </c>
    </row>
    <row r="118" spans="2:13" x14ac:dyDescent="0.35">
      <c r="B118" s="112" t="s">
        <v>999</v>
      </c>
      <c r="C118" s="113" t="s">
        <v>622</v>
      </c>
      <c r="D118" s="113" t="s">
        <v>1005</v>
      </c>
      <c r="E118" s="113" t="s">
        <v>1153</v>
      </c>
      <c r="F118" s="113" t="s">
        <v>792</v>
      </c>
      <c r="G118" s="113" t="s">
        <v>1154</v>
      </c>
      <c r="H118" s="114">
        <v>34185</v>
      </c>
      <c r="I118" s="110">
        <v>31.400000000000002</v>
      </c>
      <c r="J118" s="113" t="s">
        <v>640</v>
      </c>
      <c r="K118" s="114">
        <v>44014</v>
      </c>
      <c r="L118" s="113" t="s">
        <v>48</v>
      </c>
      <c r="M118" s="115">
        <v>45839</v>
      </c>
    </row>
    <row r="119" spans="2:13" x14ac:dyDescent="0.35">
      <c r="B119" s="112" t="s">
        <v>1002</v>
      </c>
      <c r="C119" s="113" t="s">
        <v>667</v>
      </c>
      <c r="D119" s="113" t="s">
        <v>1003</v>
      </c>
      <c r="E119" s="113" t="s">
        <v>900</v>
      </c>
      <c r="F119" s="113" t="s">
        <v>902</v>
      </c>
      <c r="G119" s="113" t="s">
        <v>901</v>
      </c>
      <c r="H119" s="114">
        <v>32817</v>
      </c>
      <c r="I119" s="110">
        <v>35.15</v>
      </c>
      <c r="J119" s="113" t="s">
        <v>612</v>
      </c>
      <c r="K119" s="114">
        <v>44390</v>
      </c>
      <c r="L119" s="113" t="s">
        <v>48</v>
      </c>
      <c r="M119" s="115">
        <v>45850</v>
      </c>
    </row>
    <row r="120" spans="2:13" x14ac:dyDescent="0.35">
      <c r="B120" s="112" t="s">
        <v>999</v>
      </c>
      <c r="C120" s="113" t="s">
        <v>622</v>
      </c>
      <c r="D120" s="113" t="s">
        <v>1048</v>
      </c>
      <c r="E120" s="113" t="s">
        <v>1155</v>
      </c>
      <c r="F120" s="113" t="s">
        <v>693</v>
      </c>
      <c r="G120" s="113" t="s">
        <v>1156</v>
      </c>
      <c r="H120" s="114">
        <v>34044</v>
      </c>
      <c r="I120" s="110">
        <v>31.79</v>
      </c>
      <c r="J120" s="113" t="s">
        <v>640</v>
      </c>
      <c r="K120" s="114">
        <v>44027</v>
      </c>
      <c r="L120" s="113" t="s">
        <v>48</v>
      </c>
      <c r="M120" s="115">
        <v>45852</v>
      </c>
    </row>
    <row r="121" spans="2:13" x14ac:dyDescent="0.35">
      <c r="B121" s="112" t="s">
        <v>1002</v>
      </c>
      <c r="C121" s="113" t="s">
        <v>648</v>
      </c>
      <c r="D121" s="113" t="s">
        <v>1005</v>
      </c>
      <c r="E121" s="113" t="s">
        <v>449</v>
      </c>
      <c r="F121" s="113" t="s">
        <v>747</v>
      </c>
      <c r="G121" s="113" t="s">
        <v>1157</v>
      </c>
      <c r="H121" s="114">
        <v>33607</v>
      </c>
      <c r="I121" s="110">
        <v>32.99</v>
      </c>
      <c r="J121" s="113" t="s">
        <v>640</v>
      </c>
      <c r="K121" s="114">
        <v>44029</v>
      </c>
      <c r="L121" s="113" t="s">
        <v>48</v>
      </c>
      <c r="M121" s="115">
        <v>45854</v>
      </c>
    </row>
    <row r="122" spans="2:13" x14ac:dyDescent="0.35">
      <c r="B122" s="112" t="s">
        <v>1002</v>
      </c>
      <c r="C122" s="113" t="s">
        <v>636</v>
      </c>
      <c r="D122" s="113" t="s">
        <v>1048</v>
      </c>
      <c r="E122" s="113" t="s">
        <v>458</v>
      </c>
      <c r="F122" s="113" t="s">
        <v>1158</v>
      </c>
      <c r="G122" s="113" t="s">
        <v>1159</v>
      </c>
      <c r="H122" s="114">
        <v>33816</v>
      </c>
      <c r="I122" s="110">
        <v>32.42</v>
      </c>
      <c r="J122" s="113" t="s">
        <v>640</v>
      </c>
      <c r="K122" s="114">
        <v>44029</v>
      </c>
      <c r="L122" s="113" t="s">
        <v>48</v>
      </c>
      <c r="M122" s="115">
        <v>45854</v>
      </c>
    </row>
    <row r="123" spans="2:13" x14ac:dyDescent="0.35">
      <c r="B123" s="112" t="s">
        <v>1008</v>
      </c>
      <c r="C123" s="113" t="s">
        <v>691</v>
      </c>
      <c r="D123" s="113" t="s">
        <v>1160</v>
      </c>
      <c r="E123" s="113" t="s">
        <v>1161</v>
      </c>
      <c r="F123" s="113" t="s">
        <v>1070</v>
      </c>
      <c r="G123" s="113" t="s">
        <v>1162</v>
      </c>
      <c r="H123" s="114">
        <v>36454</v>
      </c>
      <c r="I123" s="110">
        <v>25.19</v>
      </c>
      <c r="J123" s="113" t="s">
        <v>612</v>
      </c>
      <c r="K123" s="114">
        <v>44397</v>
      </c>
      <c r="L123" s="113" t="s">
        <v>1001</v>
      </c>
      <c r="M123" s="115">
        <v>45857</v>
      </c>
    </row>
    <row r="124" spans="2:13" x14ac:dyDescent="0.35">
      <c r="B124" s="112" t="s">
        <v>1008</v>
      </c>
      <c r="C124" s="113" t="s">
        <v>691</v>
      </c>
      <c r="D124" s="113" t="s">
        <v>1160</v>
      </c>
      <c r="E124" s="113" t="s">
        <v>1163</v>
      </c>
      <c r="F124" s="113" t="s">
        <v>1164</v>
      </c>
      <c r="G124" s="113" t="s">
        <v>1165</v>
      </c>
      <c r="H124" s="114">
        <v>36204</v>
      </c>
      <c r="I124" s="110">
        <v>25.87</v>
      </c>
      <c r="J124" s="113" t="s">
        <v>612</v>
      </c>
      <c r="K124" s="114">
        <v>44397</v>
      </c>
      <c r="L124" s="113" t="s">
        <v>1001</v>
      </c>
      <c r="M124" s="115">
        <v>45857</v>
      </c>
    </row>
    <row r="125" spans="2:13" x14ac:dyDescent="0.35">
      <c r="B125" s="112" t="s">
        <v>1008</v>
      </c>
      <c r="C125" s="113" t="s">
        <v>691</v>
      </c>
      <c r="D125" s="113" t="s">
        <v>1160</v>
      </c>
      <c r="E125" s="113" t="s">
        <v>1166</v>
      </c>
      <c r="F125" s="113" t="s">
        <v>1041</v>
      </c>
      <c r="G125" s="113" t="s">
        <v>1167</v>
      </c>
      <c r="H125" s="114">
        <v>35315</v>
      </c>
      <c r="I125" s="110">
        <v>28.310000000000002</v>
      </c>
      <c r="J125" s="113" t="s">
        <v>612</v>
      </c>
      <c r="K125" s="114">
        <v>44397</v>
      </c>
      <c r="L125" s="113" t="s">
        <v>1001</v>
      </c>
      <c r="M125" s="115">
        <v>45857</v>
      </c>
    </row>
    <row r="126" spans="2:13" x14ac:dyDescent="0.35">
      <c r="B126" s="112" t="s">
        <v>1002</v>
      </c>
      <c r="C126" s="113" t="s">
        <v>667</v>
      </c>
      <c r="D126" s="113" t="s">
        <v>1000</v>
      </c>
      <c r="E126" s="113" t="s">
        <v>981</v>
      </c>
      <c r="F126" s="113" t="s">
        <v>983</v>
      </c>
      <c r="G126" s="113" t="s">
        <v>982</v>
      </c>
      <c r="H126" s="114">
        <v>23788</v>
      </c>
      <c r="I126" s="110">
        <v>59.89</v>
      </c>
      <c r="J126" s="113" t="s">
        <v>612</v>
      </c>
      <c r="K126" s="114">
        <v>45127</v>
      </c>
      <c r="L126" s="113" t="s">
        <v>48</v>
      </c>
      <c r="M126" s="115">
        <v>45857</v>
      </c>
    </row>
    <row r="127" spans="2:13" x14ac:dyDescent="0.35">
      <c r="B127" s="112" t="s">
        <v>1002</v>
      </c>
      <c r="C127" s="113" t="s">
        <v>648</v>
      </c>
      <c r="D127" s="113" t="s">
        <v>1160</v>
      </c>
      <c r="E127" s="113" t="s">
        <v>425</v>
      </c>
      <c r="F127" s="113" t="s">
        <v>1168</v>
      </c>
      <c r="G127" s="113" t="s">
        <v>1169</v>
      </c>
      <c r="H127" s="114">
        <v>36417</v>
      </c>
      <c r="I127" s="110">
        <v>25.29</v>
      </c>
      <c r="J127" s="113" t="s">
        <v>612</v>
      </c>
      <c r="K127" s="114">
        <v>44397</v>
      </c>
      <c r="L127" s="113" t="s">
        <v>1001</v>
      </c>
      <c r="M127" s="115">
        <v>45857</v>
      </c>
    </row>
    <row r="128" spans="2:13" x14ac:dyDescent="0.35">
      <c r="B128" s="112" t="s">
        <v>1002</v>
      </c>
      <c r="C128" s="113" t="s">
        <v>648</v>
      </c>
      <c r="D128" s="113" t="s">
        <v>1000</v>
      </c>
      <c r="E128" s="113" t="s">
        <v>333</v>
      </c>
      <c r="F128" s="113" t="s">
        <v>621</v>
      </c>
      <c r="G128" s="113" t="s">
        <v>1170</v>
      </c>
      <c r="H128" s="114">
        <v>35714</v>
      </c>
      <c r="I128" s="110">
        <v>27.22</v>
      </c>
      <c r="J128" s="113" t="s">
        <v>612</v>
      </c>
      <c r="K128" s="114">
        <v>44397</v>
      </c>
      <c r="L128" s="113" t="s">
        <v>1001</v>
      </c>
      <c r="M128" s="115">
        <v>45857</v>
      </c>
    </row>
    <row r="129" spans="2:13" x14ac:dyDescent="0.35">
      <c r="B129" s="112" t="s">
        <v>999</v>
      </c>
      <c r="C129" s="113" t="s">
        <v>622</v>
      </c>
      <c r="D129" s="113" t="s">
        <v>1000</v>
      </c>
      <c r="E129" s="113" t="s">
        <v>1171</v>
      </c>
      <c r="F129" s="113" t="s">
        <v>767</v>
      </c>
      <c r="G129" s="113" t="s">
        <v>1172</v>
      </c>
      <c r="H129" s="114">
        <v>36134</v>
      </c>
      <c r="I129" s="110">
        <v>26.060000000000002</v>
      </c>
      <c r="J129" s="113" t="s">
        <v>612</v>
      </c>
      <c r="K129" s="114">
        <v>44397</v>
      </c>
      <c r="L129" s="113" t="s">
        <v>1001</v>
      </c>
      <c r="M129" s="115">
        <v>45857</v>
      </c>
    </row>
    <row r="130" spans="2:13" x14ac:dyDescent="0.35">
      <c r="B130" s="112" t="s">
        <v>999</v>
      </c>
      <c r="C130" s="113" t="s">
        <v>622</v>
      </c>
      <c r="D130" s="113" t="s">
        <v>1004</v>
      </c>
      <c r="E130" s="113" t="s">
        <v>1173</v>
      </c>
      <c r="F130" s="113" t="s">
        <v>1174</v>
      </c>
      <c r="G130" s="113" t="s">
        <v>1175</v>
      </c>
      <c r="H130" s="114">
        <v>35905</v>
      </c>
      <c r="I130" s="110">
        <v>26.69</v>
      </c>
      <c r="J130" s="113" t="s">
        <v>612</v>
      </c>
      <c r="K130" s="114">
        <v>44397</v>
      </c>
      <c r="L130" s="113" t="s">
        <v>1001</v>
      </c>
      <c r="M130" s="115">
        <v>45857</v>
      </c>
    </row>
    <row r="131" spans="2:13" x14ac:dyDescent="0.35">
      <c r="B131" s="112" t="s">
        <v>999</v>
      </c>
      <c r="C131" s="113" t="s">
        <v>622</v>
      </c>
      <c r="D131" s="113" t="s">
        <v>1004</v>
      </c>
      <c r="E131" s="113" t="s">
        <v>1176</v>
      </c>
      <c r="F131" s="113" t="s">
        <v>752</v>
      </c>
      <c r="G131" s="113" t="s">
        <v>1177</v>
      </c>
      <c r="H131" s="114">
        <v>35583</v>
      </c>
      <c r="I131" s="110">
        <v>27.57</v>
      </c>
      <c r="J131" s="113" t="s">
        <v>612</v>
      </c>
      <c r="K131" s="114">
        <v>44397</v>
      </c>
      <c r="L131" s="113" t="s">
        <v>1001</v>
      </c>
      <c r="M131" s="115">
        <v>45857</v>
      </c>
    </row>
    <row r="132" spans="2:13" x14ac:dyDescent="0.35">
      <c r="B132" s="112" t="s">
        <v>1002</v>
      </c>
      <c r="C132" s="113" t="s">
        <v>636</v>
      </c>
      <c r="D132" s="113" t="s">
        <v>1017</v>
      </c>
      <c r="E132" s="113" t="s">
        <v>110</v>
      </c>
      <c r="F132" s="113" t="s">
        <v>645</v>
      </c>
      <c r="G132" s="113" t="s">
        <v>904</v>
      </c>
      <c r="H132" s="114">
        <v>25021</v>
      </c>
      <c r="I132" s="110">
        <v>56.51</v>
      </c>
      <c r="J132" s="113" t="s">
        <v>612</v>
      </c>
      <c r="K132" s="114">
        <v>45497</v>
      </c>
      <c r="L132" s="113" t="s">
        <v>48</v>
      </c>
      <c r="M132" s="115">
        <v>45862</v>
      </c>
    </row>
    <row r="133" spans="2:13" x14ac:dyDescent="0.35">
      <c r="B133" s="112" t="s">
        <v>1002</v>
      </c>
      <c r="C133" s="113" t="s">
        <v>643</v>
      </c>
      <c r="D133" s="113" t="s">
        <v>1017</v>
      </c>
      <c r="E133" s="113" t="s">
        <v>42</v>
      </c>
      <c r="F133" s="113" t="s">
        <v>686</v>
      </c>
      <c r="G133" s="113" t="s">
        <v>908</v>
      </c>
      <c r="H133" s="114">
        <v>25387</v>
      </c>
      <c r="I133" s="110">
        <v>55.51</v>
      </c>
      <c r="J133" s="113" t="s">
        <v>612</v>
      </c>
      <c r="K133" s="114">
        <v>45498</v>
      </c>
      <c r="L133" s="113" t="s">
        <v>48</v>
      </c>
      <c r="M133" s="115">
        <v>45863</v>
      </c>
    </row>
    <row r="134" spans="2:13" x14ac:dyDescent="0.35">
      <c r="B134" s="112" t="s">
        <v>1002</v>
      </c>
      <c r="C134" s="113" t="s">
        <v>643</v>
      </c>
      <c r="D134" s="113" t="s">
        <v>1000</v>
      </c>
      <c r="E134" s="113" t="s">
        <v>244</v>
      </c>
      <c r="F134" s="113" t="s">
        <v>675</v>
      </c>
      <c r="G134" s="113" t="s">
        <v>905</v>
      </c>
      <c r="H134" s="114">
        <v>35183</v>
      </c>
      <c r="I134" s="110">
        <v>28.67</v>
      </c>
      <c r="J134" s="113" t="s">
        <v>612</v>
      </c>
      <c r="K134" s="114">
        <v>44405</v>
      </c>
      <c r="L134" s="113" t="s">
        <v>48</v>
      </c>
      <c r="M134" s="115">
        <v>45865</v>
      </c>
    </row>
    <row r="135" spans="2:13" x14ac:dyDescent="0.35">
      <c r="B135" s="112" t="s">
        <v>1002</v>
      </c>
      <c r="C135" s="113" t="s">
        <v>643</v>
      </c>
      <c r="D135" s="113" t="s">
        <v>1000</v>
      </c>
      <c r="E135" s="113" t="s">
        <v>239</v>
      </c>
      <c r="F135" s="113" t="s">
        <v>647</v>
      </c>
      <c r="G135" s="113" t="s">
        <v>907</v>
      </c>
      <c r="H135" s="114">
        <v>34335</v>
      </c>
      <c r="I135" s="110">
        <v>30.990000000000002</v>
      </c>
      <c r="J135" s="113" t="s">
        <v>612</v>
      </c>
      <c r="K135" s="114">
        <v>44405</v>
      </c>
      <c r="L135" s="113" t="s">
        <v>48</v>
      </c>
      <c r="M135" s="115">
        <v>45865</v>
      </c>
    </row>
    <row r="136" spans="2:13" x14ac:dyDescent="0.35">
      <c r="B136" s="112" t="s">
        <v>1002</v>
      </c>
      <c r="C136" s="113" t="s">
        <v>643</v>
      </c>
      <c r="D136" s="113" t="s">
        <v>1000</v>
      </c>
      <c r="E136" s="113" t="s">
        <v>241</v>
      </c>
      <c r="F136" s="113" t="s">
        <v>629</v>
      </c>
      <c r="G136" s="113" t="s">
        <v>906</v>
      </c>
      <c r="H136" s="114">
        <v>33314</v>
      </c>
      <c r="I136" s="110">
        <v>33</v>
      </c>
      <c r="J136" s="113" t="s">
        <v>612</v>
      </c>
      <c r="K136" s="114">
        <v>44405</v>
      </c>
      <c r="L136" s="113" t="s">
        <v>48</v>
      </c>
      <c r="M136" s="115">
        <v>45865</v>
      </c>
    </row>
    <row r="137" spans="2:13" x14ac:dyDescent="0.35">
      <c r="B137" s="112" t="s">
        <v>1002</v>
      </c>
      <c r="C137" s="113" t="s">
        <v>648</v>
      </c>
      <c r="D137" s="113" t="s">
        <v>1000</v>
      </c>
      <c r="E137" s="113" t="s">
        <v>381</v>
      </c>
      <c r="F137" s="113" t="s">
        <v>1178</v>
      </c>
      <c r="G137" s="113" t="s">
        <v>1179</v>
      </c>
      <c r="H137" s="114">
        <v>36393</v>
      </c>
      <c r="I137" s="110">
        <v>25.36</v>
      </c>
      <c r="J137" s="113" t="s">
        <v>612</v>
      </c>
      <c r="K137" s="114">
        <v>44405</v>
      </c>
      <c r="L137" s="113" t="s">
        <v>1001</v>
      </c>
      <c r="M137" s="115">
        <v>45865</v>
      </c>
    </row>
    <row r="138" spans="2:13" x14ac:dyDescent="0.35">
      <c r="B138" s="112" t="s">
        <v>1002</v>
      </c>
      <c r="C138" s="113" t="s">
        <v>648</v>
      </c>
      <c r="D138" s="113" t="s">
        <v>1000</v>
      </c>
      <c r="E138" s="113" t="s">
        <v>383</v>
      </c>
      <c r="F138" s="113" t="s">
        <v>747</v>
      </c>
      <c r="G138" s="113" t="s">
        <v>1180</v>
      </c>
      <c r="H138" s="114">
        <v>35066</v>
      </c>
      <c r="I138" s="110">
        <v>28.990000000000002</v>
      </c>
      <c r="J138" s="113" t="s">
        <v>612</v>
      </c>
      <c r="K138" s="114">
        <v>44405</v>
      </c>
      <c r="L138" s="113" t="s">
        <v>1001</v>
      </c>
      <c r="M138" s="115">
        <v>45865</v>
      </c>
    </row>
    <row r="139" spans="2:13" x14ac:dyDescent="0.35">
      <c r="B139" s="112" t="s">
        <v>999</v>
      </c>
      <c r="C139" s="113" t="s">
        <v>659</v>
      </c>
      <c r="D139" s="113" t="s">
        <v>1000</v>
      </c>
      <c r="E139" s="113" t="s">
        <v>1181</v>
      </c>
      <c r="F139" s="113" t="s">
        <v>1041</v>
      </c>
      <c r="G139" s="113" t="s">
        <v>1182</v>
      </c>
      <c r="H139" s="114">
        <v>35699</v>
      </c>
      <c r="I139" s="110">
        <v>27.26</v>
      </c>
      <c r="J139" s="113" t="s">
        <v>612</v>
      </c>
      <c r="K139" s="114">
        <v>44405</v>
      </c>
      <c r="L139" s="113" t="s">
        <v>1001</v>
      </c>
      <c r="M139" s="115">
        <v>45865</v>
      </c>
    </row>
    <row r="140" spans="2:13" x14ac:dyDescent="0.35">
      <c r="B140" s="112" t="s">
        <v>1008</v>
      </c>
      <c r="C140" s="113" t="s">
        <v>691</v>
      </c>
      <c r="D140" s="113" t="s">
        <v>1160</v>
      </c>
      <c r="E140" s="113" t="s">
        <v>1183</v>
      </c>
      <c r="F140" s="113" t="s">
        <v>609</v>
      </c>
      <c r="G140" s="113" t="s">
        <v>1184</v>
      </c>
      <c r="H140" s="114">
        <v>36913</v>
      </c>
      <c r="I140" s="110">
        <v>23.93</v>
      </c>
      <c r="J140" s="113" t="s">
        <v>612</v>
      </c>
      <c r="K140" s="114">
        <v>44406</v>
      </c>
      <c r="L140" s="113" t="s">
        <v>1001</v>
      </c>
      <c r="M140" s="115">
        <v>45866</v>
      </c>
    </row>
    <row r="141" spans="2:13" x14ac:dyDescent="0.35">
      <c r="B141" s="112" t="s">
        <v>1002</v>
      </c>
      <c r="C141" s="113" t="s">
        <v>648</v>
      </c>
      <c r="D141" s="113" t="s">
        <v>1004</v>
      </c>
      <c r="E141" s="113" t="s">
        <v>1185</v>
      </c>
      <c r="F141" s="113" t="s">
        <v>752</v>
      </c>
      <c r="G141" s="113" t="s">
        <v>1186</v>
      </c>
      <c r="H141" s="114">
        <v>36259</v>
      </c>
      <c r="I141" s="110">
        <v>25.72</v>
      </c>
      <c r="J141" s="113" t="s">
        <v>612</v>
      </c>
      <c r="K141" s="114">
        <v>44406</v>
      </c>
      <c r="L141" s="113" t="s">
        <v>1001</v>
      </c>
      <c r="M141" s="115">
        <v>45866</v>
      </c>
    </row>
    <row r="142" spans="2:13" x14ac:dyDescent="0.35">
      <c r="B142" s="112" t="s">
        <v>1002</v>
      </c>
      <c r="C142" s="113" t="s">
        <v>648</v>
      </c>
      <c r="D142" s="113" t="s">
        <v>1000</v>
      </c>
      <c r="E142" s="113" t="s">
        <v>369</v>
      </c>
      <c r="F142" s="113" t="s">
        <v>1041</v>
      </c>
      <c r="G142" s="113" t="s">
        <v>1187</v>
      </c>
      <c r="H142" s="114">
        <v>36083</v>
      </c>
      <c r="I142" s="110">
        <v>26</v>
      </c>
      <c r="J142" s="113" t="s">
        <v>612</v>
      </c>
      <c r="K142" s="114">
        <v>44406</v>
      </c>
      <c r="L142" s="113" t="s">
        <v>1001</v>
      </c>
      <c r="M142" s="115">
        <v>45866</v>
      </c>
    </row>
    <row r="143" spans="2:13" x14ac:dyDescent="0.35">
      <c r="B143" s="112" t="s">
        <v>1002</v>
      </c>
      <c r="C143" s="113" t="s">
        <v>648</v>
      </c>
      <c r="D143" s="113" t="s">
        <v>1000</v>
      </c>
      <c r="E143" s="113" t="s">
        <v>335</v>
      </c>
      <c r="F143" s="113" t="s">
        <v>764</v>
      </c>
      <c r="G143" s="113" t="s">
        <v>1188</v>
      </c>
      <c r="H143" s="114">
        <v>35978</v>
      </c>
      <c r="I143" s="110">
        <v>26.490000000000002</v>
      </c>
      <c r="J143" s="113" t="s">
        <v>612</v>
      </c>
      <c r="K143" s="114">
        <v>44406</v>
      </c>
      <c r="L143" s="113" t="s">
        <v>1001</v>
      </c>
      <c r="M143" s="115">
        <v>45866</v>
      </c>
    </row>
    <row r="144" spans="2:13" x14ac:dyDescent="0.35">
      <c r="B144" s="112" t="s">
        <v>1002</v>
      </c>
      <c r="C144" s="113" t="s">
        <v>733</v>
      </c>
      <c r="D144" s="113" t="s">
        <v>1000</v>
      </c>
      <c r="E144" s="113" t="s">
        <v>263</v>
      </c>
      <c r="F144" s="113" t="s">
        <v>825</v>
      </c>
      <c r="G144" s="113" t="s">
        <v>1189</v>
      </c>
      <c r="H144" s="114">
        <v>36817</v>
      </c>
      <c r="I144" s="110">
        <v>24.19</v>
      </c>
      <c r="J144" s="113" t="s">
        <v>612</v>
      </c>
      <c r="K144" s="114">
        <v>44406</v>
      </c>
      <c r="L144" s="113" t="s">
        <v>1001</v>
      </c>
      <c r="M144" s="115">
        <v>45866</v>
      </c>
    </row>
    <row r="145" spans="2:13" x14ac:dyDescent="0.35">
      <c r="B145" s="112" t="s">
        <v>1002</v>
      </c>
      <c r="C145" s="113" t="s">
        <v>733</v>
      </c>
      <c r="D145" s="113" t="s">
        <v>1000</v>
      </c>
      <c r="E145" s="113" t="s">
        <v>265</v>
      </c>
      <c r="F145" s="113" t="s">
        <v>703</v>
      </c>
      <c r="G145" s="113" t="s">
        <v>1190</v>
      </c>
      <c r="H145" s="114">
        <v>36179</v>
      </c>
      <c r="I145" s="110">
        <v>25.94</v>
      </c>
      <c r="J145" s="113" t="s">
        <v>612</v>
      </c>
      <c r="K145" s="114">
        <v>44406</v>
      </c>
      <c r="L145" s="113" t="s">
        <v>1001</v>
      </c>
      <c r="M145" s="115">
        <v>45866</v>
      </c>
    </row>
    <row r="146" spans="2:13" x14ac:dyDescent="0.35">
      <c r="B146" s="112" t="s">
        <v>999</v>
      </c>
      <c r="C146" s="113" t="s">
        <v>659</v>
      </c>
      <c r="D146" s="113" t="s">
        <v>1004</v>
      </c>
      <c r="E146" s="113" t="s">
        <v>1191</v>
      </c>
      <c r="F146" s="113" t="s">
        <v>1192</v>
      </c>
      <c r="G146" s="113" t="s">
        <v>1193</v>
      </c>
      <c r="H146" s="114">
        <v>36699</v>
      </c>
      <c r="I146" s="110">
        <v>24.52</v>
      </c>
      <c r="J146" s="113" t="s">
        <v>612</v>
      </c>
      <c r="K146" s="114">
        <v>44406</v>
      </c>
      <c r="L146" s="113" t="s">
        <v>1001</v>
      </c>
      <c r="M146" s="115">
        <v>45866</v>
      </c>
    </row>
    <row r="147" spans="2:13" x14ac:dyDescent="0.35">
      <c r="B147" s="112" t="s">
        <v>999</v>
      </c>
      <c r="C147" s="113" t="s">
        <v>659</v>
      </c>
      <c r="D147" s="113" t="s">
        <v>1000</v>
      </c>
      <c r="E147" s="113" t="s">
        <v>1194</v>
      </c>
      <c r="F147" s="113" t="s">
        <v>1195</v>
      </c>
      <c r="G147" s="113" t="s">
        <v>1196</v>
      </c>
      <c r="H147" s="114">
        <v>35217</v>
      </c>
      <c r="I147" s="110">
        <v>28.580000000000002</v>
      </c>
      <c r="J147" s="113" t="s">
        <v>612</v>
      </c>
      <c r="K147" s="114">
        <v>44406</v>
      </c>
      <c r="L147" s="113" t="s">
        <v>1001</v>
      </c>
      <c r="M147" s="115">
        <v>45866</v>
      </c>
    </row>
    <row r="148" spans="2:13" x14ac:dyDescent="0.35">
      <c r="B148" s="112" t="s">
        <v>1002</v>
      </c>
      <c r="C148" s="113" t="s">
        <v>643</v>
      </c>
      <c r="D148" s="113" t="s">
        <v>1000</v>
      </c>
      <c r="E148" s="113" t="s">
        <v>238</v>
      </c>
      <c r="F148" s="113" t="s">
        <v>1197</v>
      </c>
      <c r="G148" s="113" t="s">
        <v>609</v>
      </c>
      <c r="H148" s="114">
        <v>34245</v>
      </c>
      <c r="I148" s="110">
        <v>31.28</v>
      </c>
      <c r="J148" s="113" t="s">
        <v>612</v>
      </c>
      <c r="K148" s="114">
        <v>44405</v>
      </c>
      <c r="L148" s="113" t="s">
        <v>48</v>
      </c>
      <c r="M148" s="115">
        <v>45866</v>
      </c>
    </row>
    <row r="149" spans="2:13" x14ac:dyDescent="0.35">
      <c r="B149" s="112" t="s">
        <v>1002</v>
      </c>
      <c r="C149" s="113" t="s">
        <v>643</v>
      </c>
      <c r="D149" s="113" t="s">
        <v>1000</v>
      </c>
      <c r="E149" s="113" t="s">
        <v>249</v>
      </c>
      <c r="F149" s="113" t="s">
        <v>1198</v>
      </c>
      <c r="G149" s="113" t="s">
        <v>1044</v>
      </c>
      <c r="H149" s="114">
        <v>34470</v>
      </c>
      <c r="I149" s="110">
        <v>30.67</v>
      </c>
      <c r="J149" s="113">
        <v>1</v>
      </c>
      <c r="K149" s="114">
        <v>44405</v>
      </c>
      <c r="L149" s="113" t="s">
        <v>48</v>
      </c>
      <c r="M149" s="115">
        <v>45866</v>
      </c>
    </row>
    <row r="150" spans="2:13" x14ac:dyDescent="0.35">
      <c r="B150" s="112" t="s">
        <v>999</v>
      </c>
      <c r="C150" s="113" t="s">
        <v>617</v>
      </c>
      <c r="D150" s="113" t="s">
        <v>1017</v>
      </c>
      <c r="E150" s="113" t="s">
        <v>909</v>
      </c>
      <c r="F150" s="113" t="s">
        <v>911</v>
      </c>
      <c r="G150" s="113" t="s">
        <v>910</v>
      </c>
      <c r="H150" s="114">
        <v>24656</v>
      </c>
      <c r="I150" s="110">
        <v>57.51</v>
      </c>
      <c r="J150" s="113" t="s">
        <v>612</v>
      </c>
      <c r="K150" s="114">
        <v>45502</v>
      </c>
      <c r="L150" s="113" t="s">
        <v>48</v>
      </c>
      <c r="M150" s="115">
        <v>45867</v>
      </c>
    </row>
    <row r="151" spans="2:13" x14ac:dyDescent="0.35">
      <c r="B151" s="112" t="s">
        <v>1002</v>
      </c>
      <c r="C151" s="113" t="s">
        <v>643</v>
      </c>
      <c r="D151" s="113" t="s">
        <v>1000</v>
      </c>
      <c r="E151" s="113" t="s">
        <v>250</v>
      </c>
      <c r="F151" s="113" t="s">
        <v>1199</v>
      </c>
      <c r="G151" s="113" t="s">
        <v>866</v>
      </c>
      <c r="H151" s="114">
        <v>34780</v>
      </c>
      <c r="I151" s="110">
        <v>29.82</v>
      </c>
      <c r="J151" s="113" t="s">
        <v>612</v>
      </c>
      <c r="K151" s="114">
        <v>44406</v>
      </c>
      <c r="L151" s="113" t="s">
        <v>48</v>
      </c>
      <c r="M151" s="115">
        <v>45867</v>
      </c>
    </row>
    <row r="152" spans="2:13" x14ac:dyDescent="0.35">
      <c r="B152" s="112" t="s">
        <v>1002</v>
      </c>
      <c r="C152" s="113" t="s">
        <v>667</v>
      </c>
      <c r="D152" s="113" t="s">
        <v>1003</v>
      </c>
      <c r="E152" s="113" t="s">
        <v>269</v>
      </c>
      <c r="F152" s="113" t="s">
        <v>966</v>
      </c>
      <c r="G152" s="113" t="s">
        <v>965</v>
      </c>
      <c r="H152" s="114">
        <v>23909</v>
      </c>
      <c r="I152" s="110">
        <v>59.56</v>
      </c>
      <c r="J152" s="113" t="s">
        <v>612</v>
      </c>
      <c r="K152" s="114">
        <v>45505</v>
      </c>
      <c r="L152" s="113" t="s">
        <v>48</v>
      </c>
      <c r="M152" s="115">
        <v>45870</v>
      </c>
    </row>
    <row r="153" spans="2:13" x14ac:dyDescent="0.35">
      <c r="B153" s="112" t="s">
        <v>1002</v>
      </c>
      <c r="C153" s="113" t="s">
        <v>648</v>
      </c>
      <c r="D153" s="113" t="s">
        <v>1000</v>
      </c>
      <c r="E153" s="113" t="s">
        <v>331</v>
      </c>
      <c r="F153" s="113" t="s">
        <v>792</v>
      </c>
      <c r="G153" s="113" t="s">
        <v>1200</v>
      </c>
      <c r="H153" s="114">
        <v>36111</v>
      </c>
      <c r="I153" s="110">
        <v>26.13</v>
      </c>
      <c r="J153" s="113" t="s">
        <v>612</v>
      </c>
      <c r="K153" s="114">
        <v>44410</v>
      </c>
      <c r="L153" s="113" t="s">
        <v>1001</v>
      </c>
      <c r="M153" s="115">
        <v>45870</v>
      </c>
    </row>
    <row r="154" spans="2:13" x14ac:dyDescent="0.35">
      <c r="B154" s="112" t="s">
        <v>1002</v>
      </c>
      <c r="C154" s="113" t="s">
        <v>648</v>
      </c>
      <c r="D154" s="113" t="s">
        <v>1000</v>
      </c>
      <c r="E154" s="113" t="s">
        <v>277</v>
      </c>
      <c r="F154" s="113" t="s">
        <v>825</v>
      </c>
      <c r="G154" s="113" t="s">
        <v>1201</v>
      </c>
      <c r="H154" s="114">
        <v>35896</v>
      </c>
      <c r="I154" s="110">
        <v>26.72</v>
      </c>
      <c r="J154" s="113" t="s">
        <v>612</v>
      </c>
      <c r="K154" s="114">
        <v>44410</v>
      </c>
      <c r="L154" s="113" t="s">
        <v>1001</v>
      </c>
      <c r="M154" s="115">
        <v>45870</v>
      </c>
    </row>
    <row r="155" spans="2:13" x14ac:dyDescent="0.35">
      <c r="B155" s="112" t="s">
        <v>1002</v>
      </c>
      <c r="C155" s="113" t="s">
        <v>648</v>
      </c>
      <c r="D155" s="113" t="s">
        <v>1000</v>
      </c>
      <c r="E155" s="113" t="s">
        <v>281</v>
      </c>
      <c r="F155" s="113" t="s">
        <v>703</v>
      </c>
      <c r="G155" s="113" t="s">
        <v>1202</v>
      </c>
      <c r="H155" s="114">
        <v>35833</v>
      </c>
      <c r="I155" s="110">
        <v>26.89</v>
      </c>
      <c r="J155" s="113" t="s">
        <v>612</v>
      </c>
      <c r="K155" s="114">
        <v>44410</v>
      </c>
      <c r="L155" s="113" t="s">
        <v>1001</v>
      </c>
      <c r="M155" s="115">
        <v>45870</v>
      </c>
    </row>
    <row r="156" spans="2:13" x14ac:dyDescent="0.35">
      <c r="B156" s="112" t="s">
        <v>999</v>
      </c>
      <c r="C156" s="113" t="s">
        <v>622</v>
      </c>
      <c r="D156" s="113" t="s">
        <v>1003</v>
      </c>
      <c r="E156" s="113" t="s">
        <v>1203</v>
      </c>
      <c r="F156" s="113" t="s">
        <v>732</v>
      </c>
      <c r="G156" s="113" t="s">
        <v>1204</v>
      </c>
      <c r="H156" s="114">
        <v>33867</v>
      </c>
      <c r="I156" s="110">
        <v>32.28</v>
      </c>
      <c r="J156" s="113" t="s">
        <v>612</v>
      </c>
      <c r="K156" s="114">
        <v>44410</v>
      </c>
      <c r="L156" s="113" t="s">
        <v>48</v>
      </c>
      <c r="M156" s="115">
        <v>45870</v>
      </c>
    </row>
    <row r="157" spans="2:13" x14ac:dyDescent="0.35">
      <c r="B157" s="112" t="s">
        <v>999</v>
      </c>
      <c r="C157" s="113" t="s">
        <v>622</v>
      </c>
      <c r="D157" s="113" t="s">
        <v>1004</v>
      </c>
      <c r="E157" s="113" t="s">
        <v>1205</v>
      </c>
      <c r="F157" s="113" t="s">
        <v>1041</v>
      </c>
      <c r="G157" s="113" t="s">
        <v>1206</v>
      </c>
      <c r="H157" s="114">
        <v>35507</v>
      </c>
      <c r="I157" s="110">
        <v>27.78</v>
      </c>
      <c r="J157" s="113" t="s">
        <v>612</v>
      </c>
      <c r="K157" s="114">
        <v>44411</v>
      </c>
      <c r="L157" s="113" t="s">
        <v>1001</v>
      </c>
      <c r="M157" s="115">
        <v>45871</v>
      </c>
    </row>
    <row r="158" spans="2:13" x14ac:dyDescent="0.35">
      <c r="B158" s="112" t="s">
        <v>1002</v>
      </c>
      <c r="C158" s="113" t="s">
        <v>648</v>
      </c>
      <c r="D158" s="113" t="s">
        <v>1000</v>
      </c>
      <c r="E158" s="113" t="s">
        <v>271</v>
      </c>
      <c r="F158" s="113" t="s">
        <v>609</v>
      </c>
      <c r="G158" s="113" t="s">
        <v>1207</v>
      </c>
      <c r="H158" s="114">
        <v>36778</v>
      </c>
      <c r="I158" s="110">
        <v>24.3</v>
      </c>
      <c r="J158" s="113" t="s">
        <v>612</v>
      </c>
      <c r="K158" s="114">
        <v>44412</v>
      </c>
      <c r="L158" s="113" t="s">
        <v>1001</v>
      </c>
      <c r="M158" s="115">
        <v>45872</v>
      </c>
    </row>
    <row r="159" spans="2:13" x14ac:dyDescent="0.35">
      <c r="B159" s="112" t="s">
        <v>1002</v>
      </c>
      <c r="C159" s="113" t="s">
        <v>648</v>
      </c>
      <c r="D159" s="113" t="s">
        <v>1000</v>
      </c>
      <c r="E159" s="113" t="s">
        <v>350</v>
      </c>
      <c r="F159" s="113" t="s">
        <v>1208</v>
      </c>
      <c r="G159" s="113" t="s">
        <v>1209</v>
      </c>
      <c r="H159" s="114">
        <v>36579</v>
      </c>
      <c r="I159" s="110">
        <v>24.85</v>
      </c>
      <c r="J159" s="113" t="s">
        <v>612</v>
      </c>
      <c r="K159" s="114">
        <v>44412</v>
      </c>
      <c r="L159" s="113" t="s">
        <v>1001</v>
      </c>
      <c r="M159" s="115">
        <v>45872</v>
      </c>
    </row>
    <row r="160" spans="2:13" x14ac:dyDescent="0.35">
      <c r="B160" s="112" t="s">
        <v>1002</v>
      </c>
      <c r="C160" s="113" t="s">
        <v>733</v>
      </c>
      <c r="D160" s="113" t="s">
        <v>1004</v>
      </c>
      <c r="E160" s="113" t="s">
        <v>393</v>
      </c>
      <c r="F160" s="113" t="s">
        <v>633</v>
      </c>
      <c r="G160" s="113" t="s">
        <v>1210</v>
      </c>
      <c r="H160" s="114">
        <v>35636</v>
      </c>
      <c r="I160" s="110">
        <v>27.43</v>
      </c>
      <c r="J160" s="113" t="s">
        <v>612</v>
      </c>
      <c r="K160" s="114">
        <v>44412</v>
      </c>
      <c r="L160" s="113" t="s">
        <v>1001</v>
      </c>
      <c r="M160" s="115">
        <v>45872</v>
      </c>
    </row>
    <row r="161" spans="2:13" x14ac:dyDescent="0.35">
      <c r="B161" s="112" t="s">
        <v>999</v>
      </c>
      <c r="C161" s="113" t="s">
        <v>659</v>
      </c>
      <c r="D161" s="113" t="s">
        <v>1000</v>
      </c>
      <c r="E161" s="113" t="s">
        <v>1211</v>
      </c>
      <c r="F161" s="113" t="s">
        <v>703</v>
      </c>
      <c r="G161" s="113" t="s">
        <v>1212</v>
      </c>
      <c r="H161" s="114">
        <v>36437</v>
      </c>
      <c r="I161" s="110">
        <v>25.23</v>
      </c>
      <c r="J161" s="113" t="s">
        <v>612</v>
      </c>
      <c r="K161" s="114">
        <v>44412</v>
      </c>
      <c r="L161" s="113" t="s">
        <v>1001</v>
      </c>
      <c r="M161" s="115">
        <v>45872</v>
      </c>
    </row>
    <row r="162" spans="2:13" x14ac:dyDescent="0.35">
      <c r="B162" s="112" t="s">
        <v>999</v>
      </c>
      <c r="C162" s="113" t="s">
        <v>659</v>
      </c>
      <c r="D162" s="113" t="s">
        <v>1000</v>
      </c>
      <c r="E162" s="113" t="s">
        <v>1213</v>
      </c>
      <c r="F162" s="113" t="s">
        <v>808</v>
      </c>
      <c r="G162" s="113" t="s">
        <v>1214</v>
      </c>
      <c r="H162" s="114">
        <v>35982</v>
      </c>
      <c r="I162" s="110">
        <v>26.48</v>
      </c>
      <c r="J162" s="113" t="s">
        <v>612</v>
      </c>
      <c r="K162" s="114">
        <v>44412</v>
      </c>
      <c r="L162" s="113" t="s">
        <v>1001</v>
      </c>
      <c r="M162" s="115">
        <v>45872</v>
      </c>
    </row>
    <row r="163" spans="2:13" x14ac:dyDescent="0.35">
      <c r="B163" s="112" t="s">
        <v>1002</v>
      </c>
      <c r="C163" s="113" t="s">
        <v>643</v>
      </c>
      <c r="D163" s="113" t="s">
        <v>1004</v>
      </c>
      <c r="E163" s="113" t="s">
        <v>388</v>
      </c>
      <c r="F163" s="113" t="s">
        <v>767</v>
      </c>
      <c r="G163" s="113" t="s">
        <v>1215</v>
      </c>
      <c r="H163" s="114">
        <v>35710</v>
      </c>
      <c r="I163" s="110">
        <v>27.23</v>
      </c>
      <c r="J163" s="113" t="s">
        <v>612</v>
      </c>
      <c r="K163" s="114">
        <v>44413</v>
      </c>
      <c r="L163" s="113" t="s">
        <v>1001</v>
      </c>
      <c r="M163" s="115">
        <v>45873</v>
      </c>
    </row>
    <row r="164" spans="2:13" x14ac:dyDescent="0.35">
      <c r="B164" s="112" t="s">
        <v>1008</v>
      </c>
      <c r="C164" s="113" t="s">
        <v>626</v>
      </c>
      <c r="D164" s="113" t="s">
        <v>1160</v>
      </c>
      <c r="E164" s="113" t="s">
        <v>1216</v>
      </c>
      <c r="F164" s="113" t="s">
        <v>1217</v>
      </c>
      <c r="G164" s="113" t="s">
        <v>1218</v>
      </c>
      <c r="H164" s="114">
        <v>36699</v>
      </c>
      <c r="I164" s="110">
        <v>24.52</v>
      </c>
      <c r="J164" s="113" t="s">
        <v>612</v>
      </c>
      <c r="K164" s="114">
        <v>44414</v>
      </c>
      <c r="L164" s="113" t="s">
        <v>1001</v>
      </c>
      <c r="M164" s="115">
        <v>45874</v>
      </c>
    </row>
    <row r="165" spans="2:13" x14ac:dyDescent="0.35">
      <c r="B165" s="112" t="s">
        <v>1002</v>
      </c>
      <c r="C165" s="113" t="s">
        <v>643</v>
      </c>
      <c r="D165" s="113" t="s">
        <v>1004</v>
      </c>
      <c r="E165" s="113" t="s">
        <v>389</v>
      </c>
      <c r="F165" s="113" t="s">
        <v>1219</v>
      </c>
      <c r="G165" s="113" t="s">
        <v>1220</v>
      </c>
      <c r="H165" s="114">
        <v>36166</v>
      </c>
      <c r="I165" s="110">
        <v>25.98</v>
      </c>
      <c r="J165" s="113" t="s">
        <v>612</v>
      </c>
      <c r="K165" s="114">
        <v>44414</v>
      </c>
      <c r="L165" s="113" t="s">
        <v>1001</v>
      </c>
      <c r="M165" s="115">
        <v>45874</v>
      </c>
    </row>
    <row r="166" spans="2:13" x14ac:dyDescent="0.35">
      <c r="B166" s="112" t="s">
        <v>1002</v>
      </c>
      <c r="C166" s="113" t="s">
        <v>648</v>
      </c>
      <c r="D166" s="113" t="s">
        <v>1000</v>
      </c>
      <c r="E166" s="113" t="s">
        <v>267</v>
      </c>
      <c r="F166" s="113" t="s">
        <v>785</v>
      </c>
      <c r="G166" s="113" t="s">
        <v>730</v>
      </c>
      <c r="H166" s="114">
        <v>36708</v>
      </c>
      <c r="I166" s="110">
        <v>24.490000000000002</v>
      </c>
      <c r="J166" s="113" t="s">
        <v>612</v>
      </c>
      <c r="K166" s="114">
        <v>44414</v>
      </c>
      <c r="L166" s="113" t="s">
        <v>1001</v>
      </c>
      <c r="M166" s="115">
        <v>45874</v>
      </c>
    </row>
    <row r="167" spans="2:13" x14ac:dyDescent="0.35">
      <c r="B167" s="112" t="s">
        <v>999</v>
      </c>
      <c r="C167" s="113" t="s">
        <v>659</v>
      </c>
      <c r="D167" s="113" t="s">
        <v>1000</v>
      </c>
      <c r="E167" s="113" t="s">
        <v>1221</v>
      </c>
      <c r="F167" s="113" t="s">
        <v>1222</v>
      </c>
      <c r="G167" s="113" t="s">
        <v>1223</v>
      </c>
      <c r="H167" s="114">
        <v>35845</v>
      </c>
      <c r="I167" s="110">
        <v>26.86</v>
      </c>
      <c r="J167" s="113" t="s">
        <v>612</v>
      </c>
      <c r="K167" s="114">
        <v>44414</v>
      </c>
      <c r="L167" s="113" t="s">
        <v>1001</v>
      </c>
      <c r="M167" s="115">
        <v>45874</v>
      </c>
    </row>
    <row r="168" spans="2:13" x14ac:dyDescent="0.35">
      <c r="B168" s="112" t="s">
        <v>1002</v>
      </c>
      <c r="C168" s="113" t="s">
        <v>643</v>
      </c>
      <c r="D168" s="113" t="s">
        <v>1017</v>
      </c>
      <c r="E168" s="113" t="s">
        <v>52</v>
      </c>
      <c r="F168" s="113" t="s">
        <v>660</v>
      </c>
      <c r="G168" s="113" t="s">
        <v>915</v>
      </c>
      <c r="H168" s="114">
        <v>25029</v>
      </c>
      <c r="I168" s="110">
        <v>56.49</v>
      </c>
      <c r="J168" s="113" t="s">
        <v>612</v>
      </c>
      <c r="K168" s="114">
        <v>45512</v>
      </c>
      <c r="L168" s="113" t="s">
        <v>48</v>
      </c>
      <c r="M168" s="115">
        <v>45877</v>
      </c>
    </row>
    <row r="169" spans="2:13" x14ac:dyDescent="0.35">
      <c r="B169" s="112" t="s">
        <v>1002</v>
      </c>
      <c r="C169" s="113" t="s">
        <v>667</v>
      </c>
      <c r="D169" s="113" t="s">
        <v>1000</v>
      </c>
      <c r="E169" s="113" t="s">
        <v>275</v>
      </c>
      <c r="F169" s="113" t="s">
        <v>709</v>
      </c>
      <c r="G169" s="113" t="s">
        <v>738</v>
      </c>
      <c r="H169" s="114">
        <v>29494</v>
      </c>
      <c r="I169" s="110">
        <v>44.26</v>
      </c>
      <c r="J169" s="113" t="s">
        <v>612</v>
      </c>
      <c r="K169" s="114">
        <v>44784</v>
      </c>
      <c r="L169" s="113" t="s">
        <v>48</v>
      </c>
      <c r="M169" s="115">
        <v>45879</v>
      </c>
    </row>
    <row r="170" spans="2:13" x14ac:dyDescent="0.35">
      <c r="B170" s="112" t="s">
        <v>1002</v>
      </c>
      <c r="C170" s="113" t="s">
        <v>648</v>
      </c>
      <c r="D170" s="113" t="s">
        <v>1004</v>
      </c>
      <c r="E170" s="113" t="s">
        <v>409</v>
      </c>
      <c r="F170" s="113" t="s">
        <v>703</v>
      </c>
      <c r="G170" s="113" t="s">
        <v>1224</v>
      </c>
      <c r="H170" s="114">
        <v>36053</v>
      </c>
      <c r="I170" s="110">
        <v>26.29</v>
      </c>
      <c r="J170" s="113" t="s">
        <v>612</v>
      </c>
      <c r="K170" s="114">
        <v>44419</v>
      </c>
      <c r="L170" s="113" t="s">
        <v>1001</v>
      </c>
      <c r="M170" s="115">
        <v>45879</v>
      </c>
    </row>
    <row r="171" spans="2:13" x14ac:dyDescent="0.35">
      <c r="B171" s="112" t="s">
        <v>1002</v>
      </c>
      <c r="C171" s="113" t="s">
        <v>733</v>
      </c>
      <c r="D171" s="113" t="s">
        <v>1004</v>
      </c>
      <c r="E171" s="113" t="s">
        <v>392</v>
      </c>
      <c r="F171" s="113" t="s">
        <v>1225</v>
      </c>
      <c r="G171" s="113" t="s">
        <v>1226</v>
      </c>
      <c r="H171" s="114">
        <v>35573</v>
      </c>
      <c r="I171" s="110">
        <v>27.6</v>
      </c>
      <c r="J171" s="113" t="s">
        <v>612</v>
      </c>
      <c r="K171" s="114">
        <v>44419</v>
      </c>
      <c r="L171" s="113" t="s">
        <v>1001</v>
      </c>
      <c r="M171" s="115">
        <v>45879</v>
      </c>
    </row>
    <row r="172" spans="2:13" x14ac:dyDescent="0.35">
      <c r="B172" s="112" t="s">
        <v>1002</v>
      </c>
      <c r="C172" s="113" t="s">
        <v>636</v>
      </c>
      <c r="D172" s="113" t="s">
        <v>1048</v>
      </c>
      <c r="E172" s="113" t="s">
        <v>455</v>
      </c>
      <c r="F172" s="113" t="s">
        <v>1158</v>
      </c>
      <c r="G172" s="113" t="s">
        <v>1227</v>
      </c>
      <c r="H172" s="114">
        <v>33363</v>
      </c>
      <c r="I172" s="110">
        <v>33.660000000000004</v>
      </c>
      <c r="J172" s="113" t="s">
        <v>640</v>
      </c>
      <c r="K172" s="114">
        <v>44060</v>
      </c>
      <c r="L172" s="113" t="s">
        <v>48</v>
      </c>
      <c r="M172" s="115">
        <v>45885</v>
      </c>
    </row>
    <row r="173" spans="2:13" x14ac:dyDescent="0.35">
      <c r="B173" s="112" t="s">
        <v>1008</v>
      </c>
      <c r="C173" s="113" t="s">
        <v>691</v>
      </c>
      <c r="D173" s="113" t="s">
        <v>1160</v>
      </c>
      <c r="E173" s="113" t="s">
        <v>1228</v>
      </c>
      <c r="F173" s="113" t="s">
        <v>703</v>
      </c>
      <c r="G173" s="113" t="s">
        <v>1229</v>
      </c>
      <c r="H173" s="114">
        <v>36723</v>
      </c>
      <c r="I173" s="110">
        <v>24.45</v>
      </c>
      <c r="J173" s="113" t="s">
        <v>612</v>
      </c>
      <c r="K173" s="114">
        <v>44431</v>
      </c>
      <c r="L173" s="113" t="s">
        <v>1001</v>
      </c>
      <c r="M173" s="115">
        <v>45891</v>
      </c>
    </row>
    <row r="174" spans="2:13" x14ac:dyDescent="0.35">
      <c r="B174" s="112" t="s">
        <v>1008</v>
      </c>
      <c r="C174" s="113" t="s">
        <v>626</v>
      </c>
      <c r="D174" s="113" t="s">
        <v>1160</v>
      </c>
      <c r="E174" s="113" t="s">
        <v>1230</v>
      </c>
      <c r="F174" s="113" t="s">
        <v>742</v>
      </c>
      <c r="G174" s="113" t="s">
        <v>1231</v>
      </c>
      <c r="H174" s="114">
        <v>35163</v>
      </c>
      <c r="I174" s="110">
        <v>28.72</v>
      </c>
      <c r="J174" s="113" t="s">
        <v>612</v>
      </c>
      <c r="K174" s="114">
        <v>44431</v>
      </c>
      <c r="L174" s="113" t="s">
        <v>1001</v>
      </c>
      <c r="M174" s="115">
        <v>45891</v>
      </c>
    </row>
    <row r="175" spans="2:13" x14ac:dyDescent="0.35">
      <c r="B175" s="112" t="s">
        <v>1008</v>
      </c>
      <c r="C175" s="113" t="s">
        <v>630</v>
      </c>
      <c r="D175" s="113" t="s">
        <v>1160</v>
      </c>
      <c r="E175" s="113" t="s">
        <v>1232</v>
      </c>
      <c r="F175" s="113" t="s">
        <v>1233</v>
      </c>
      <c r="G175" s="113" t="s">
        <v>1234</v>
      </c>
      <c r="H175" s="114">
        <v>36482</v>
      </c>
      <c r="I175" s="110">
        <v>25.11</v>
      </c>
      <c r="J175" s="113" t="s">
        <v>612</v>
      </c>
      <c r="K175" s="114">
        <v>44431</v>
      </c>
      <c r="L175" s="113" t="s">
        <v>1001</v>
      </c>
      <c r="M175" s="115">
        <v>45891</v>
      </c>
    </row>
    <row r="176" spans="2:13" x14ac:dyDescent="0.35">
      <c r="B176" s="112" t="s">
        <v>1002</v>
      </c>
      <c r="C176" s="113" t="s">
        <v>648</v>
      </c>
      <c r="D176" s="113" t="s">
        <v>1004</v>
      </c>
      <c r="E176" s="113" t="s">
        <v>407</v>
      </c>
      <c r="F176" s="113" t="s">
        <v>1235</v>
      </c>
      <c r="G176" s="113" t="s">
        <v>1236</v>
      </c>
      <c r="H176" s="114">
        <v>36686</v>
      </c>
      <c r="I176" s="110">
        <v>24.55</v>
      </c>
      <c r="J176" s="113" t="s">
        <v>612</v>
      </c>
      <c r="K176" s="114">
        <v>44431</v>
      </c>
      <c r="L176" s="113" t="s">
        <v>1001</v>
      </c>
      <c r="M176" s="115">
        <v>45891</v>
      </c>
    </row>
    <row r="177" spans="2:13" x14ac:dyDescent="0.35">
      <c r="B177" s="112" t="s">
        <v>1002</v>
      </c>
      <c r="C177" s="113" t="s">
        <v>733</v>
      </c>
      <c r="D177" s="113" t="s">
        <v>1000</v>
      </c>
      <c r="E177" s="113" t="s">
        <v>1237</v>
      </c>
      <c r="F177" s="113" t="s">
        <v>1070</v>
      </c>
      <c r="G177" s="113" t="s">
        <v>1238</v>
      </c>
      <c r="H177" s="114">
        <v>36117</v>
      </c>
      <c r="I177" s="110">
        <v>26.11</v>
      </c>
      <c r="J177" s="113" t="s">
        <v>612</v>
      </c>
      <c r="K177" s="114">
        <v>44431</v>
      </c>
      <c r="L177" s="113" t="s">
        <v>1001</v>
      </c>
      <c r="M177" s="115">
        <v>45891</v>
      </c>
    </row>
    <row r="178" spans="2:13" x14ac:dyDescent="0.35">
      <c r="B178" s="112" t="s">
        <v>1002</v>
      </c>
      <c r="C178" s="113" t="s">
        <v>733</v>
      </c>
      <c r="D178" s="113" t="s">
        <v>1004</v>
      </c>
      <c r="E178" s="113" t="s">
        <v>1239</v>
      </c>
      <c r="F178" s="113" t="s">
        <v>609</v>
      </c>
      <c r="G178" s="113" t="s">
        <v>1240</v>
      </c>
      <c r="H178" s="114">
        <v>35558</v>
      </c>
      <c r="I178" s="110">
        <v>27.64</v>
      </c>
      <c r="J178" s="113" t="s">
        <v>612</v>
      </c>
      <c r="K178" s="114">
        <v>44431</v>
      </c>
      <c r="L178" s="113" t="s">
        <v>1001</v>
      </c>
      <c r="M178" s="115">
        <v>45891</v>
      </c>
    </row>
    <row r="179" spans="2:13" x14ac:dyDescent="0.35">
      <c r="B179" s="112" t="s">
        <v>999</v>
      </c>
      <c r="C179" s="113" t="s">
        <v>659</v>
      </c>
      <c r="D179" s="113" t="s">
        <v>1000</v>
      </c>
      <c r="E179" s="113" t="s">
        <v>1241</v>
      </c>
      <c r="F179" s="113" t="s">
        <v>752</v>
      </c>
      <c r="G179" s="113" t="s">
        <v>1242</v>
      </c>
      <c r="H179" s="114">
        <v>36745</v>
      </c>
      <c r="I179" s="110">
        <v>24.39</v>
      </c>
      <c r="J179" s="113" t="s">
        <v>612</v>
      </c>
      <c r="K179" s="114">
        <v>44431</v>
      </c>
      <c r="L179" s="113" t="s">
        <v>1001</v>
      </c>
      <c r="M179" s="115">
        <v>45891</v>
      </c>
    </row>
    <row r="180" spans="2:13" x14ac:dyDescent="0.35">
      <c r="B180" s="112" t="s">
        <v>999</v>
      </c>
      <c r="C180" s="113" t="s">
        <v>659</v>
      </c>
      <c r="D180" s="113" t="s">
        <v>1004</v>
      </c>
      <c r="E180" s="113" t="s">
        <v>1243</v>
      </c>
      <c r="F180" s="113" t="s">
        <v>767</v>
      </c>
      <c r="G180" s="113" t="s">
        <v>1244</v>
      </c>
      <c r="H180" s="114">
        <v>36290</v>
      </c>
      <c r="I180" s="110">
        <v>25.64</v>
      </c>
      <c r="J180" s="113" t="s">
        <v>612</v>
      </c>
      <c r="K180" s="114">
        <v>44431</v>
      </c>
      <c r="L180" s="113" t="s">
        <v>1001</v>
      </c>
      <c r="M180" s="115">
        <v>45891</v>
      </c>
    </row>
    <row r="181" spans="2:13" x14ac:dyDescent="0.35">
      <c r="B181" s="112" t="s">
        <v>1008</v>
      </c>
      <c r="C181" s="113" t="s">
        <v>630</v>
      </c>
      <c r="D181" s="113" t="s">
        <v>1160</v>
      </c>
      <c r="E181" s="113" t="s">
        <v>1245</v>
      </c>
      <c r="F181" s="113" t="s">
        <v>1217</v>
      </c>
      <c r="G181" s="113" t="s">
        <v>1246</v>
      </c>
      <c r="H181" s="114">
        <v>36508</v>
      </c>
      <c r="I181" s="110">
        <v>25.04</v>
      </c>
      <c r="J181" s="113" t="s">
        <v>612</v>
      </c>
      <c r="K181" s="114">
        <v>44432</v>
      </c>
      <c r="L181" s="113" t="s">
        <v>1001</v>
      </c>
      <c r="M181" s="115">
        <v>45892</v>
      </c>
    </row>
    <row r="182" spans="2:13" x14ac:dyDescent="0.35">
      <c r="B182" s="112" t="s">
        <v>1002</v>
      </c>
      <c r="C182" s="113" t="s">
        <v>733</v>
      </c>
      <c r="D182" s="113" t="s">
        <v>1000</v>
      </c>
      <c r="E182" s="113" t="s">
        <v>264</v>
      </c>
      <c r="F182" s="113" t="s">
        <v>757</v>
      </c>
      <c r="G182" s="113" t="s">
        <v>1247</v>
      </c>
      <c r="H182" s="114">
        <v>36384</v>
      </c>
      <c r="I182" s="110">
        <v>25.38</v>
      </c>
      <c r="J182" s="113" t="s">
        <v>612</v>
      </c>
      <c r="K182" s="114">
        <v>44432</v>
      </c>
      <c r="L182" s="113" t="s">
        <v>1001</v>
      </c>
      <c r="M182" s="115">
        <v>45892</v>
      </c>
    </row>
    <row r="183" spans="2:13" x14ac:dyDescent="0.35">
      <c r="B183" s="112" t="s">
        <v>1002</v>
      </c>
      <c r="C183" s="113" t="s">
        <v>733</v>
      </c>
      <c r="D183" s="113" t="s">
        <v>1000</v>
      </c>
      <c r="E183" s="113" t="s">
        <v>1248</v>
      </c>
      <c r="F183" s="113" t="s">
        <v>1249</v>
      </c>
      <c r="G183" s="113" t="s">
        <v>1250</v>
      </c>
      <c r="H183" s="114">
        <v>35493</v>
      </c>
      <c r="I183" s="110">
        <v>27.82</v>
      </c>
      <c r="J183" s="113" t="s">
        <v>612</v>
      </c>
      <c r="K183" s="114">
        <v>44432</v>
      </c>
      <c r="L183" s="113" t="s">
        <v>1001</v>
      </c>
      <c r="M183" s="115">
        <v>45892</v>
      </c>
    </row>
    <row r="184" spans="2:13" x14ac:dyDescent="0.35">
      <c r="B184" s="112" t="s">
        <v>1008</v>
      </c>
      <c r="C184" s="113" t="s">
        <v>630</v>
      </c>
      <c r="D184" s="113" t="s">
        <v>1160</v>
      </c>
      <c r="E184" s="113" t="s">
        <v>1251</v>
      </c>
      <c r="F184" s="113" t="s">
        <v>752</v>
      </c>
      <c r="G184" s="113" t="s">
        <v>1252</v>
      </c>
      <c r="H184" s="114">
        <v>36782</v>
      </c>
      <c r="I184" s="110">
        <v>24.29</v>
      </c>
      <c r="J184" s="113" t="s">
        <v>612</v>
      </c>
      <c r="K184" s="114">
        <v>44433</v>
      </c>
      <c r="L184" s="113" t="s">
        <v>1001</v>
      </c>
      <c r="M184" s="115">
        <v>45893</v>
      </c>
    </row>
    <row r="185" spans="2:13" x14ac:dyDescent="0.35">
      <c r="B185" s="112" t="s">
        <v>999</v>
      </c>
      <c r="C185" s="113" t="s">
        <v>622</v>
      </c>
      <c r="D185" s="113" t="s">
        <v>1003</v>
      </c>
      <c r="E185" s="113" t="s">
        <v>1253</v>
      </c>
      <c r="F185" s="113" t="s">
        <v>1254</v>
      </c>
      <c r="G185" s="113" t="s">
        <v>1255</v>
      </c>
      <c r="H185" s="114">
        <v>32203</v>
      </c>
      <c r="I185" s="110">
        <v>36.83</v>
      </c>
      <c r="J185" s="113" t="s">
        <v>612</v>
      </c>
      <c r="K185" s="114">
        <v>44433</v>
      </c>
      <c r="L185" s="113" t="s">
        <v>48</v>
      </c>
      <c r="M185" s="115">
        <v>45893</v>
      </c>
    </row>
    <row r="186" spans="2:13" x14ac:dyDescent="0.35">
      <c r="B186" s="112" t="s">
        <v>1008</v>
      </c>
      <c r="C186" s="113" t="s">
        <v>630</v>
      </c>
      <c r="D186" s="113" t="s">
        <v>1160</v>
      </c>
      <c r="E186" s="113" t="s">
        <v>1256</v>
      </c>
      <c r="F186" s="113" t="s">
        <v>609</v>
      </c>
      <c r="G186" s="113" t="s">
        <v>1257</v>
      </c>
      <c r="H186" s="114">
        <v>36249</v>
      </c>
      <c r="I186" s="110">
        <v>25.75</v>
      </c>
      <c r="J186" s="113" t="s">
        <v>612</v>
      </c>
      <c r="K186" s="114">
        <v>44434</v>
      </c>
      <c r="L186" s="113" t="s">
        <v>1001</v>
      </c>
      <c r="M186" s="115">
        <v>45894</v>
      </c>
    </row>
    <row r="187" spans="2:13" x14ac:dyDescent="0.35">
      <c r="B187" s="112" t="s">
        <v>999</v>
      </c>
      <c r="C187" s="113" t="s">
        <v>622</v>
      </c>
      <c r="D187" s="113" t="s">
        <v>1048</v>
      </c>
      <c r="E187" s="113" t="s">
        <v>1258</v>
      </c>
      <c r="F187" s="113" t="s">
        <v>728</v>
      </c>
      <c r="G187" s="113" t="s">
        <v>1259</v>
      </c>
      <c r="H187" s="114">
        <v>33143</v>
      </c>
      <c r="I187" s="110">
        <v>34.26</v>
      </c>
      <c r="J187" s="113" t="s">
        <v>640</v>
      </c>
      <c r="K187" s="114">
        <v>44069</v>
      </c>
      <c r="L187" s="113" t="s">
        <v>48</v>
      </c>
      <c r="M187" s="115">
        <v>45894</v>
      </c>
    </row>
    <row r="188" spans="2:13" x14ac:dyDescent="0.35">
      <c r="B188" s="112" t="s">
        <v>1002</v>
      </c>
      <c r="C188" s="113" t="s">
        <v>667</v>
      </c>
      <c r="D188" s="113" t="s">
        <v>1017</v>
      </c>
      <c r="E188" s="113" t="s">
        <v>145</v>
      </c>
      <c r="F188" s="113" t="s">
        <v>728</v>
      </c>
      <c r="G188" s="113" t="s">
        <v>923</v>
      </c>
      <c r="H188" s="114">
        <v>25062</v>
      </c>
      <c r="I188" s="110">
        <v>56.4</v>
      </c>
      <c r="J188" s="113" t="s">
        <v>612</v>
      </c>
      <c r="K188" s="114">
        <v>45530</v>
      </c>
      <c r="L188" s="113" t="s">
        <v>48</v>
      </c>
      <c r="M188" s="115">
        <v>45895</v>
      </c>
    </row>
    <row r="189" spans="2:13" x14ac:dyDescent="0.35">
      <c r="B189" s="112" t="s">
        <v>999</v>
      </c>
      <c r="C189" s="113" t="s">
        <v>659</v>
      </c>
      <c r="D189" s="113" t="s">
        <v>1004</v>
      </c>
      <c r="E189" s="113" t="s">
        <v>1260</v>
      </c>
      <c r="F189" s="113" t="s">
        <v>1261</v>
      </c>
      <c r="G189" s="113" t="s">
        <v>1262</v>
      </c>
      <c r="H189" s="114">
        <v>36970</v>
      </c>
      <c r="I189" s="110">
        <v>23.77</v>
      </c>
      <c r="J189" s="113" t="s">
        <v>612</v>
      </c>
      <c r="K189" s="114">
        <v>44446</v>
      </c>
      <c r="L189" s="113" t="s">
        <v>48</v>
      </c>
      <c r="M189" s="115">
        <v>45906</v>
      </c>
    </row>
    <row r="190" spans="2:13" x14ac:dyDescent="0.35">
      <c r="B190" s="112" t="s">
        <v>999</v>
      </c>
      <c r="C190" s="113" t="s">
        <v>622</v>
      </c>
      <c r="D190" s="113" t="s">
        <v>1000</v>
      </c>
      <c r="E190" s="113" t="s">
        <v>1263</v>
      </c>
      <c r="F190" s="113" t="s">
        <v>1264</v>
      </c>
      <c r="G190" s="113" t="s">
        <v>1265</v>
      </c>
      <c r="H190" s="114">
        <v>35971</v>
      </c>
      <c r="I190" s="110">
        <v>26.51</v>
      </c>
      <c r="J190" s="113" t="s">
        <v>612</v>
      </c>
      <c r="K190" s="114">
        <v>44448</v>
      </c>
      <c r="L190" s="113" t="s">
        <v>1001</v>
      </c>
      <c r="M190" s="115">
        <v>45908</v>
      </c>
    </row>
    <row r="191" spans="2:13" x14ac:dyDescent="0.35">
      <c r="B191" s="112" t="s">
        <v>1002</v>
      </c>
      <c r="C191" s="113" t="s">
        <v>648</v>
      </c>
      <c r="D191" s="113" t="s">
        <v>1022</v>
      </c>
      <c r="E191" s="113" t="s">
        <v>544</v>
      </c>
      <c r="F191" s="113" t="s">
        <v>1266</v>
      </c>
      <c r="G191" s="113" t="s">
        <v>1267</v>
      </c>
      <c r="H191" s="114">
        <v>31274</v>
      </c>
      <c r="I191" s="110">
        <v>39.380000000000003</v>
      </c>
      <c r="J191" s="113" t="s">
        <v>612</v>
      </c>
      <c r="K191" s="114">
        <v>44459</v>
      </c>
      <c r="L191" s="113" t="s">
        <v>48</v>
      </c>
      <c r="M191" s="115">
        <v>45919</v>
      </c>
    </row>
    <row r="192" spans="2:13" x14ac:dyDescent="0.35">
      <c r="B192" s="112" t="s">
        <v>1002</v>
      </c>
      <c r="C192" s="113" t="s">
        <v>636</v>
      </c>
      <c r="D192" s="113" t="s">
        <v>1003</v>
      </c>
      <c r="E192" s="113" t="s">
        <v>166</v>
      </c>
      <c r="F192" s="113" t="s">
        <v>703</v>
      </c>
      <c r="G192" s="113" t="s">
        <v>1268</v>
      </c>
      <c r="H192" s="114">
        <v>31720</v>
      </c>
      <c r="I192" s="110">
        <v>38.160000000000004</v>
      </c>
      <c r="J192" s="113" t="s">
        <v>612</v>
      </c>
      <c r="K192" s="114">
        <v>44460</v>
      </c>
      <c r="L192" s="113" t="s">
        <v>48</v>
      </c>
      <c r="M192" s="115">
        <v>45920</v>
      </c>
    </row>
    <row r="193" spans="2:13" x14ac:dyDescent="0.35">
      <c r="B193" s="112" t="s">
        <v>1008</v>
      </c>
      <c r="C193" s="113" t="s">
        <v>626</v>
      </c>
      <c r="D193" s="113" t="s">
        <v>1003</v>
      </c>
      <c r="E193" s="113" t="s">
        <v>950</v>
      </c>
      <c r="F193" s="113" t="s">
        <v>952</v>
      </c>
      <c r="G193" s="113" t="s">
        <v>951</v>
      </c>
      <c r="H193" s="114">
        <v>34337</v>
      </c>
      <c r="I193" s="110">
        <v>30.990000000000002</v>
      </c>
      <c r="J193" s="113" t="s">
        <v>612</v>
      </c>
      <c r="K193" s="114">
        <v>44462</v>
      </c>
      <c r="L193" s="113" t="s">
        <v>48</v>
      </c>
      <c r="M193" s="115">
        <v>45922</v>
      </c>
    </row>
    <row r="194" spans="2:13" x14ac:dyDescent="0.35">
      <c r="B194" s="112" t="s">
        <v>1002</v>
      </c>
      <c r="C194" s="113" t="s">
        <v>643</v>
      </c>
      <c r="D194" s="113" t="s">
        <v>1022</v>
      </c>
      <c r="E194" s="113" t="s">
        <v>494</v>
      </c>
      <c r="F194" s="113" t="s">
        <v>703</v>
      </c>
      <c r="G194" s="113" t="s">
        <v>1269</v>
      </c>
      <c r="H194" s="114">
        <v>26858</v>
      </c>
      <c r="I194" s="110">
        <v>51.480000000000004</v>
      </c>
      <c r="J194" s="113" t="s">
        <v>612</v>
      </c>
      <c r="K194" s="114">
        <v>44827</v>
      </c>
      <c r="L194" s="113" t="s">
        <v>48</v>
      </c>
      <c r="M194" s="115">
        <v>45922</v>
      </c>
    </row>
    <row r="195" spans="2:13" x14ac:dyDescent="0.35">
      <c r="B195" s="112" t="s">
        <v>1002</v>
      </c>
      <c r="C195" s="113" t="s">
        <v>643</v>
      </c>
      <c r="D195" s="113" t="s">
        <v>1000</v>
      </c>
      <c r="E195" s="113" t="s">
        <v>242</v>
      </c>
      <c r="F195" s="113" t="s">
        <v>852</v>
      </c>
      <c r="G195" s="113" t="s">
        <v>953</v>
      </c>
      <c r="H195" s="114">
        <v>34020</v>
      </c>
      <c r="I195" s="110">
        <v>31.86</v>
      </c>
      <c r="J195" s="113" t="s">
        <v>612</v>
      </c>
      <c r="K195" s="114">
        <v>44463</v>
      </c>
      <c r="L195" s="113" t="s">
        <v>48</v>
      </c>
      <c r="M195" s="115">
        <v>45923</v>
      </c>
    </row>
    <row r="196" spans="2:13" x14ac:dyDescent="0.35">
      <c r="B196" s="112" t="s">
        <v>1002</v>
      </c>
      <c r="C196" s="113" t="s">
        <v>648</v>
      </c>
      <c r="D196" s="113" t="s">
        <v>1003</v>
      </c>
      <c r="E196" s="113" t="s">
        <v>1270</v>
      </c>
      <c r="F196" s="113" t="s">
        <v>629</v>
      </c>
      <c r="G196" s="113" t="s">
        <v>1271</v>
      </c>
      <c r="H196" s="114">
        <v>27998</v>
      </c>
      <c r="I196" s="110">
        <v>48.36</v>
      </c>
      <c r="J196" s="113" t="s">
        <v>612</v>
      </c>
      <c r="K196" s="114">
        <v>44831</v>
      </c>
      <c r="L196" s="113" t="s">
        <v>48</v>
      </c>
      <c r="M196" s="115">
        <v>45926</v>
      </c>
    </row>
    <row r="197" spans="2:13" x14ac:dyDescent="0.35">
      <c r="B197" s="112" t="s">
        <v>1002</v>
      </c>
      <c r="C197" s="113" t="s">
        <v>636</v>
      </c>
      <c r="D197" s="113" t="s">
        <v>1000</v>
      </c>
      <c r="E197" s="113" t="s">
        <v>261</v>
      </c>
      <c r="F197" s="113" t="s">
        <v>940</v>
      </c>
      <c r="G197" s="113" t="s">
        <v>954</v>
      </c>
      <c r="H197" s="114">
        <v>33974</v>
      </c>
      <c r="I197" s="110">
        <v>31.98</v>
      </c>
      <c r="J197" s="113" t="s">
        <v>612</v>
      </c>
      <c r="K197" s="114">
        <v>44466</v>
      </c>
      <c r="L197" s="113" t="s">
        <v>48</v>
      </c>
      <c r="M197" s="115">
        <v>45926</v>
      </c>
    </row>
    <row r="198" spans="2:13" x14ac:dyDescent="0.35">
      <c r="B198" s="112" t="s">
        <v>1002</v>
      </c>
      <c r="C198" s="113" t="s">
        <v>636</v>
      </c>
      <c r="D198" s="113" t="s">
        <v>1000</v>
      </c>
      <c r="E198" s="113" t="s">
        <v>260</v>
      </c>
      <c r="F198" s="113" t="s">
        <v>742</v>
      </c>
      <c r="G198" s="113" t="s">
        <v>956</v>
      </c>
      <c r="H198" s="114">
        <v>33732</v>
      </c>
      <c r="I198" s="110">
        <v>32.65</v>
      </c>
      <c r="J198" s="113" t="s">
        <v>612</v>
      </c>
      <c r="K198" s="114">
        <v>44467</v>
      </c>
      <c r="L198" s="113" t="s">
        <v>48</v>
      </c>
      <c r="M198" s="115">
        <v>45927</v>
      </c>
    </row>
    <row r="199" spans="2:13" x14ac:dyDescent="0.35">
      <c r="B199" s="112" t="s">
        <v>999</v>
      </c>
      <c r="C199" s="113" t="s">
        <v>617</v>
      </c>
      <c r="D199" s="113" t="s">
        <v>1000</v>
      </c>
      <c r="E199" s="113" t="s">
        <v>918</v>
      </c>
      <c r="F199" s="113" t="s">
        <v>707</v>
      </c>
      <c r="G199" s="113" t="s">
        <v>919</v>
      </c>
      <c r="H199" s="114">
        <v>25786</v>
      </c>
      <c r="I199" s="110">
        <v>54.42</v>
      </c>
      <c r="J199" s="113" t="s">
        <v>612</v>
      </c>
      <c r="K199" s="114">
        <v>44832</v>
      </c>
      <c r="L199" s="113" t="s">
        <v>48</v>
      </c>
      <c r="M199" s="115">
        <v>45927</v>
      </c>
    </row>
    <row r="200" spans="2:13" x14ac:dyDescent="0.35">
      <c r="B200" s="112" t="s">
        <v>999</v>
      </c>
      <c r="C200" s="113" t="s">
        <v>617</v>
      </c>
      <c r="D200" s="113" t="s">
        <v>1000</v>
      </c>
      <c r="E200" s="113" t="s">
        <v>1272</v>
      </c>
      <c r="F200" s="113" t="s">
        <v>707</v>
      </c>
      <c r="G200" s="113" t="s">
        <v>1273</v>
      </c>
      <c r="H200" s="114">
        <v>25843</v>
      </c>
      <c r="I200" s="110">
        <v>54.26</v>
      </c>
      <c r="J200" s="113" t="s">
        <v>612</v>
      </c>
      <c r="K200" s="114">
        <v>44834</v>
      </c>
      <c r="L200" s="113" t="s">
        <v>48</v>
      </c>
      <c r="M200" s="115">
        <v>45929</v>
      </c>
    </row>
    <row r="201" spans="2:13" x14ac:dyDescent="0.35">
      <c r="B201" s="112" t="s">
        <v>999</v>
      </c>
      <c r="C201" s="113" t="s">
        <v>622</v>
      </c>
      <c r="D201" s="113" t="s">
        <v>1000</v>
      </c>
      <c r="E201" s="113" t="s">
        <v>1274</v>
      </c>
      <c r="F201" s="113" t="s">
        <v>1275</v>
      </c>
      <c r="G201" s="113" t="s">
        <v>1276</v>
      </c>
      <c r="H201" s="114">
        <v>34125</v>
      </c>
      <c r="I201" s="110">
        <v>31.57</v>
      </c>
      <c r="J201" s="113" t="s">
        <v>612</v>
      </c>
      <c r="K201" s="114">
        <v>44470</v>
      </c>
      <c r="L201" s="113" t="s">
        <v>48</v>
      </c>
      <c r="M201" s="115">
        <v>45930</v>
      </c>
    </row>
    <row r="202" spans="2:13" x14ac:dyDescent="0.35">
      <c r="B202" s="112" t="s">
        <v>999</v>
      </c>
      <c r="C202" s="113" t="s">
        <v>622</v>
      </c>
      <c r="D202" s="113" t="s">
        <v>1003</v>
      </c>
      <c r="E202" s="113" t="s">
        <v>1277</v>
      </c>
      <c r="F202" s="113" t="s">
        <v>642</v>
      </c>
      <c r="G202" s="113" t="s">
        <v>1063</v>
      </c>
      <c r="H202" s="114">
        <v>32115</v>
      </c>
      <c r="I202" s="110">
        <v>37.08</v>
      </c>
      <c r="J202" s="113" t="s">
        <v>612</v>
      </c>
      <c r="K202" s="114">
        <v>44473</v>
      </c>
      <c r="L202" s="113" t="s">
        <v>48</v>
      </c>
      <c r="M202" s="115">
        <v>45933</v>
      </c>
    </row>
    <row r="203" spans="2:13" x14ac:dyDescent="0.35">
      <c r="B203" s="112" t="s">
        <v>999</v>
      </c>
      <c r="C203" s="113" t="s">
        <v>617</v>
      </c>
      <c r="D203" s="113" t="s">
        <v>1003</v>
      </c>
      <c r="E203" s="113" t="s">
        <v>1278</v>
      </c>
      <c r="F203" s="113" t="s">
        <v>609</v>
      </c>
      <c r="G203" s="113" t="s">
        <v>1279</v>
      </c>
      <c r="H203" s="114">
        <v>32687</v>
      </c>
      <c r="I203" s="110">
        <v>35.51</v>
      </c>
      <c r="J203" s="113" t="s">
        <v>612</v>
      </c>
      <c r="K203" s="114">
        <v>44474</v>
      </c>
      <c r="L203" s="113" t="s">
        <v>48</v>
      </c>
      <c r="M203" s="115">
        <v>45934</v>
      </c>
    </row>
    <row r="204" spans="2:13" x14ac:dyDescent="0.35">
      <c r="B204" s="112" t="s">
        <v>999</v>
      </c>
      <c r="C204" s="113" t="s">
        <v>622</v>
      </c>
      <c r="D204" s="113" t="s">
        <v>1000</v>
      </c>
      <c r="E204" s="113" t="s">
        <v>1280</v>
      </c>
      <c r="F204" s="113" t="s">
        <v>633</v>
      </c>
      <c r="G204" s="113" t="s">
        <v>1281</v>
      </c>
      <c r="H204" s="114">
        <v>33526</v>
      </c>
      <c r="I204" s="110">
        <v>33.21</v>
      </c>
      <c r="J204" s="113" t="s">
        <v>612</v>
      </c>
      <c r="K204" s="114">
        <v>44474</v>
      </c>
      <c r="L204" s="113" t="s">
        <v>48</v>
      </c>
      <c r="M204" s="115">
        <v>45934</v>
      </c>
    </row>
    <row r="205" spans="2:13" x14ac:dyDescent="0.35">
      <c r="B205" s="112" t="s">
        <v>1008</v>
      </c>
      <c r="C205" s="113" t="s">
        <v>630</v>
      </c>
      <c r="D205" s="113" t="s">
        <v>1005</v>
      </c>
      <c r="E205" s="113" t="s">
        <v>1282</v>
      </c>
      <c r="F205" s="113" t="s">
        <v>1143</v>
      </c>
      <c r="G205" s="113" t="s">
        <v>1283</v>
      </c>
      <c r="H205" s="114">
        <v>33239</v>
      </c>
      <c r="I205" s="110">
        <v>34</v>
      </c>
      <c r="J205" s="113" t="s">
        <v>640</v>
      </c>
      <c r="K205" s="114">
        <v>44110</v>
      </c>
      <c r="L205" s="113" t="s">
        <v>48</v>
      </c>
      <c r="M205" s="115">
        <v>45935</v>
      </c>
    </row>
    <row r="206" spans="2:13" x14ac:dyDescent="0.35">
      <c r="B206" s="112" t="s">
        <v>999</v>
      </c>
      <c r="C206" s="113" t="s">
        <v>622</v>
      </c>
      <c r="D206" s="113" t="s">
        <v>1000</v>
      </c>
      <c r="E206" s="113" t="s">
        <v>961</v>
      </c>
      <c r="F206" s="113" t="s">
        <v>808</v>
      </c>
      <c r="G206" s="113" t="s">
        <v>962</v>
      </c>
      <c r="H206" s="114">
        <v>34260</v>
      </c>
      <c r="I206" s="110">
        <v>31.2</v>
      </c>
      <c r="J206" s="113" t="s">
        <v>612</v>
      </c>
      <c r="K206" s="114">
        <v>44475</v>
      </c>
      <c r="L206" s="113" t="s">
        <v>48</v>
      </c>
      <c r="M206" s="115">
        <v>45935</v>
      </c>
    </row>
    <row r="207" spans="2:13" x14ac:dyDescent="0.35">
      <c r="B207" s="112" t="s">
        <v>999</v>
      </c>
      <c r="C207" s="113" t="s">
        <v>617</v>
      </c>
      <c r="D207" s="113" t="s">
        <v>1022</v>
      </c>
      <c r="E207" s="113" t="s">
        <v>1284</v>
      </c>
      <c r="F207" s="113" t="s">
        <v>1285</v>
      </c>
      <c r="G207" s="113" t="s">
        <v>1286</v>
      </c>
      <c r="H207" s="114">
        <v>32199</v>
      </c>
      <c r="I207" s="110">
        <v>36.85</v>
      </c>
      <c r="J207" s="113" t="s">
        <v>612</v>
      </c>
      <c r="K207" s="114">
        <v>44476</v>
      </c>
      <c r="L207" s="113" t="s">
        <v>48</v>
      </c>
      <c r="M207" s="115">
        <v>45936</v>
      </c>
    </row>
    <row r="208" spans="2:13" x14ac:dyDescent="0.35">
      <c r="B208" s="112" t="s">
        <v>999</v>
      </c>
      <c r="C208" s="113" t="s">
        <v>617</v>
      </c>
      <c r="D208" s="113" t="s">
        <v>1022</v>
      </c>
      <c r="E208" s="113" t="s">
        <v>1287</v>
      </c>
      <c r="F208" s="113" t="s">
        <v>633</v>
      </c>
      <c r="G208" s="113" t="s">
        <v>1288</v>
      </c>
      <c r="H208" s="114">
        <v>32875</v>
      </c>
      <c r="I208" s="110">
        <v>34.99</v>
      </c>
      <c r="J208" s="113" t="s">
        <v>612</v>
      </c>
      <c r="K208" s="114">
        <v>44477</v>
      </c>
      <c r="L208" s="113" t="s">
        <v>48</v>
      </c>
      <c r="M208" s="115">
        <v>45937</v>
      </c>
    </row>
    <row r="209" spans="2:13" x14ac:dyDescent="0.35">
      <c r="B209" s="112" t="s">
        <v>1062</v>
      </c>
      <c r="C209" s="113" t="s">
        <v>610</v>
      </c>
      <c r="D209" s="113" t="s">
        <v>1022</v>
      </c>
      <c r="E209" s="113" t="s">
        <v>1289</v>
      </c>
      <c r="F209" s="113" t="s">
        <v>747</v>
      </c>
      <c r="G209" s="113" t="s">
        <v>1290</v>
      </c>
      <c r="H209" s="114">
        <v>33078</v>
      </c>
      <c r="I209" s="110">
        <v>34.44</v>
      </c>
      <c r="J209" s="113" t="s">
        <v>612</v>
      </c>
      <c r="K209" s="114">
        <v>44481</v>
      </c>
      <c r="L209" s="113" t="s">
        <v>48</v>
      </c>
      <c r="M209" s="115">
        <v>45941</v>
      </c>
    </row>
    <row r="210" spans="2:13" x14ac:dyDescent="0.35">
      <c r="B210" s="112" t="s">
        <v>999</v>
      </c>
      <c r="C210" s="113" t="s">
        <v>659</v>
      </c>
      <c r="D210" s="113" t="s">
        <v>1291</v>
      </c>
      <c r="E210" s="113" t="s">
        <v>1292</v>
      </c>
      <c r="F210" s="113" t="s">
        <v>1041</v>
      </c>
      <c r="G210" s="113" t="s">
        <v>1293</v>
      </c>
      <c r="H210" s="114">
        <v>35137</v>
      </c>
      <c r="I210" s="110">
        <v>28.8</v>
      </c>
      <c r="J210" s="113" t="s">
        <v>640</v>
      </c>
      <c r="K210" s="114">
        <v>44116</v>
      </c>
      <c r="L210" s="113" t="s">
        <v>1001</v>
      </c>
      <c r="M210" s="115">
        <v>45941</v>
      </c>
    </row>
    <row r="211" spans="2:13" x14ac:dyDescent="0.35">
      <c r="B211" s="112" t="s">
        <v>1002</v>
      </c>
      <c r="C211" s="113" t="s">
        <v>643</v>
      </c>
      <c r="D211" s="113" t="s">
        <v>1022</v>
      </c>
      <c r="E211" s="113" t="s">
        <v>501</v>
      </c>
      <c r="F211" s="113" t="s">
        <v>968</v>
      </c>
      <c r="G211" s="113" t="s">
        <v>967</v>
      </c>
      <c r="H211" s="114">
        <v>27433</v>
      </c>
      <c r="I211" s="110">
        <v>49.9</v>
      </c>
      <c r="J211" s="113" t="s">
        <v>612</v>
      </c>
      <c r="K211" s="114">
        <v>44859</v>
      </c>
      <c r="L211" s="113" t="s">
        <v>48</v>
      </c>
      <c r="M211" s="115">
        <v>45954</v>
      </c>
    </row>
    <row r="212" spans="2:13" x14ac:dyDescent="0.35">
      <c r="B212" s="112" t="s">
        <v>999</v>
      </c>
      <c r="C212" s="113" t="s">
        <v>659</v>
      </c>
      <c r="D212" s="113" t="s">
        <v>1003</v>
      </c>
      <c r="E212" s="113" t="s">
        <v>1294</v>
      </c>
      <c r="F212" s="113" t="s">
        <v>973</v>
      </c>
      <c r="G212" s="113" t="s">
        <v>1295</v>
      </c>
      <c r="H212" s="114">
        <v>34348</v>
      </c>
      <c r="I212" s="110">
        <v>30.96</v>
      </c>
      <c r="J212" s="113" t="s">
        <v>612</v>
      </c>
      <c r="K212" s="114">
        <v>44494</v>
      </c>
      <c r="L212" s="113" t="s">
        <v>48</v>
      </c>
      <c r="M212" s="115">
        <v>45954</v>
      </c>
    </row>
    <row r="213" spans="2:13" x14ac:dyDescent="0.35">
      <c r="B213" s="112" t="s">
        <v>1002</v>
      </c>
      <c r="C213" s="113" t="s">
        <v>643</v>
      </c>
      <c r="D213" s="113" t="s">
        <v>1017</v>
      </c>
      <c r="E213" s="113" t="s">
        <v>53</v>
      </c>
      <c r="F213" s="113" t="s">
        <v>686</v>
      </c>
      <c r="G213" s="113" t="s">
        <v>976</v>
      </c>
      <c r="H213" s="114">
        <v>25355</v>
      </c>
      <c r="I213" s="110">
        <v>55.6</v>
      </c>
      <c r="J213" s="113" t="s">
        <v>612</v>
      </c>
      <c r="K213" s="114">
        <v>45594</v>
      </c>
      <c r="L213" s="113" t="s">
        <v>48</v>
      </c>
      <c r="M213" s="115">
        <v>45959</v>
      </c>
    </row>
    <row r="214" spans="2:13" x14ac:dyDescent="0.35">
      <c r="B214" s="112" t="s">
        <v>1008</v>
      </c>
      <c r="C214" s="113" t="s">
        <v>626</v>
      </c>
      <c r="D214" s="113" t="s">
        <v>1009</v>
      </c>
      <c r="E214" s="113" t="s">
        <v>1296</v>
      </c>
      <c r="F214" s="113" t="s">
        <v>1297</v>
      </c>
      <c r="G214" s="113" t="s">
        <v>1298</v>
      </c>
      <c r="H214" s="114">
        <v>28897</v>
      </c>
      <c r="I214" s="110">
        <v>45.89</v>
      </c>
      <c r="J214" s="113" t="s">
        <v>612</v>
      </c>
      <c r="K214" s="114">
        <v>44865</v>
      </c>
      <c r="L214" s="113" t="s">
        <v>48</v>
      </c>
      <c r="M214" s="115">
        <v>45960</v>
      </c>
    </row>
    <row r="215" spans="2:13" x14ac:dyDescent="0.35">
      <c r="B215" s="112" t="s">
        <v>999</v>
      </c>
      <c r="C215" s="113" t="s">
        <v>659</v>
      </c>
      <c r="D215" s="113" t="s">
        <v>1003</v>
      </c>
      <c r="E215" s="113" t="s">
        <v>1299</v>
      </c>
      <c r="F215" s="113" t="s">
        <v>675</v>
      </c>
      <c r="G215" s="113" t="s">
        <v>1300</v>
      </c>
      <c r="H215" s="114">
        <v>35342</v>
      </c>
      <c r="I215" s="110">
        <v>28.23</v>
      </c>
      <c r="J215" s="113" t="s">
        <v>612</v>
      </c>
      <c r="K215" s="114">
        <v>44501</v>
      </c>
      <c r="L215" s="113" t="s">
        <v>48</v>
      </c>
      <c r="M215" s="115">
        <v>45961</v>
      </c>
    </row>
    <row r="216" spans="2:13" x14ac:dyDescent="0.35">
      <c r="B216" s="112" t="s">
        <v>1002</v>
      </c>
      <c r="C216" s="113" t="s">
        <v>636</v>
      </c>
      <c r="D216" s="113" t="s">
        <v>1003</v>
      </c>
      <c r="E216" s="113" t="s">
        <v>194</v>
      </c>
      <c r="F216" s="113" t="s">
        <v>1301</v>
      </c>
      <c r="G216" s="113" t="s">
        <v>1302</v>
      </c>
      <c r="H216" s="114">
        <v>33639</v>
      </c>
      <c r="I216" s="110">
        <v>32.9</v>
      </c>
      <c r="J216" s="113" t="s">
        <v>612</v>
      </c>
      <c r="K216" s="114">
        <v>44505</v>
      </c>
      <c r="L216" s="113" t="s">
        <v>48</v>
      </c>
      <c r="M216" s="115">
        <v>45965</v>
      </c>
    </row>
    <row r="217" spans="2:13" x14ac:dyDescent="0.35">
      <c r="B217" s="112" t="s">
        <v>999</v>
      </c>
      <c r="C217" s="113" t="s">
        <v>622</v>
      </c>
      <c r="D217" s="113" t="s">
        <v>1000</v>
      </c>
      <c r="E217" s="113" t="s">
        <v>1303</v>
      </c>
      <c r="F217" s="113" t="s">
        <v>1304</v>
      </c>
      <c r="G217" s="113" t="s">
        <v>1305</v>
      </c>
      <c r="H217" s="114">
        <v>32734</v>
      </c>
      <c r="I217" s="110">
        <v>35.380000000000003</v>
      </c>
      <c r="J217" s="113" t="s">
        <v>612</v>
      </c>
      <c r="K217" s="114">
        <v>44511</v>
      </c>
      <c r="L217" s="113" t="s">
        <v>48</v>
      </c>
      <c r="M217" s="115">
        <v>45971</v>
      </c>
    </row>
    <row r="218" spans="2:13" x14ac:dyDescent="0.35">
      <c r="B218" s="112" t="s">
        <v>1002</v>
      </c>
      <c r="C218" s="113" t="s">
        <v>648</v>
      </c>
      <c r="D218" s="113" t="s">
        <v>1003</v>
      </c>
      <c r="E218" s="113" t="s">
        <v>163</v>
      </c>
      <c r="F218" s="113" t="s">
        <v>792</v>
      </c>
      <c r="G218" s="113" t="s">
        <v>1306</v>
      </c>
      <c r="H218" s="114">
        <v>34727</v>
      </c>
      <c r="I218" s="110">
        <v>29.92</v>
      </c>
      <c r="J218" s="113" t="s">
        <v>612</v>
      </c>
      <c r="K218" s="114">
        <v>44512</v>
      </c>
      <c r="L218" s="113" t="s">
        <v>48</v>
      </c>
      <c r="M218" s="115">
        <v>45972</v>
      </c>
    </row>
    <row r="219" spans="2:13" x14ac:dyDescent="0.35">
      <c r="B219" s="112" t="s">
        <v>999</v>
      </c>
      <c r="C219" s="113" t="s">
        <v>659</v>
      </c>
      <c r="D219" s="113" t="s">
        <v>1000</v>
      </c>
      <c r="E219" s="113" t="s">
        <v>1307</v>
      </c>
      <c r="F219" s="113" t="s">
        <v>1308</v>
      </c>
      <c r="G219" s="113" t="s">
        <v>1309</v>
      </c>
      <c r="H219" s="114">
        <v>35021</v>
      </c>
      <c r="I219" s="110">
        <v>29.11</v>
      </c>
      <c r="J219" s="113" t="s">
        <v>612</v>
      </c>
      <c r="K219" s="114">
        <v>44512</v>
      </c>
      <c r="L219" s="113" t="s">
        <v>48</v>
      </c>
      <c r="M219" s="115">
        <v>45972</v>
      </c>
    </row>
    <row r="220" spans="2:13" x14ac:dyDescent="0.35">
      <c r="B220" s="112" t="s">
        <v>1002</v>
      </c>
      <c r="C220" s="113" t="s">
        <v>648</v>
      </c>
      <c r="D220" s="113" t="s">
        <v>1003</v>
      </c>
      <c r="E220" s="113" t="s">
        <v>141</v>
      </c>
      <c r="F220" s="113" t="s">
        <v>1310</v>
      </c>
      <c r="G220" s="113" t="s">
        <v>1311</v>
      </c>
      <c r="H220" s="114">
        <v>34257</v>
      </c>
      <c r="I220" s="110">
        <v>31.21</v>
      </c>
      <c r="J220" s="113" t="s">
        <v>612</v>
      </c>
      <c r="K220" s="114">
        <v>44515</v>
      </c>
      <c r="L220" s="113" t="s">
        <v>48</v>
      </c>
      <c r="M220" s="115">
        <v>45975</v>
      </c>
    </row>
    <row r="221" spans="2:13" x14ac:dyDescent="0.35">
      <c r="B221" s="112" t="s">
        <v>1002</v>
      </c>
      <c r="C221" s="113" t="s">
        <v>648</v>
      </c>
      <c r="D221" s="113" t="s">
        <v>1003</v>
      </c>
      <c r="E221" s="113" t="s">
        <v>71</v>
      </c>
      <c r="F221" s="113" t="s">
        <v>841</v>
      </c>
      <c r="G221" s="113" t="s">
        <v>1312</v>
      </c>
      <c r="H221" s="114">
        <v>34183</v>
      </c>
      <c r="I221" s="110">
        <v>31.41</v>
      </c>
      <c r="J221" s="113" t="s">
        <v>612</v>
      </c>
      <c r="K221" s="114">
        <v>44522</v>
      </c>
      <c r="L221" s="113" t="s">
        <v>48</v>
      </c>
      <c r="M221" s="115">
        <v>45982</v>
      </c>
    </row>
    <row r="222" spans="2:13" x14ac:dyDescent="0.35">
      <c r="B222" s="112" t="s">
        <v>999</v>
      </c>
      <c r="C222" s="113" t="s">
        <v>622</v>
      </c>
      <c r="D222" s="113" t="s">
        <v>1000</v>
      </c>
      <c r="E222" s="113" t="s">
        <v>1313</v>
      </c>
      <c r="F222" s="113" t="s">
        <v>798</v>
      </c>
      <c r="G222" s="113" t="s">
        <v>1314</v>
      </c>
      <c r="H222" s="114">
        <v>34179</v>
      </c>
      <c r="I222" s="110">
        <v>31.42</v>
      </c>
      <c r="J222" s="113" t="s">
        <v>612</v>
      </c>
      <c r="K222" s="114">
        <v>44522</v>
      </c>
      <c r="L222" s="113" t="s">
        <v>48</v>
      </c>
      <c r="M222" s="115">
        <v>45982</v>
      </c>
    </row>
    <row r="223" spans="2:13" x14ac:dyDescent="0.35">
      <c r="B223" s="112" t="s">
        <v>999</v>
      </c>
      <c r="C223" s="113" t="s">
        <v>622</v>
      </c>
      <c r="D223" s="113" t="s">
        <v>1000</v>
      </c>
      <c r="E223" s="113" t="s">
        <v>1315</v>
      </c>
      <c r="F223" s="113" t="s">
        <v>645</v>
      </c>
      <c r="G223" s="113" t="s">
        <v>1316</v>
      </c>
      <c r="H223" s="114">
        <v>34392</v>
      </c>
      <c r="I223" s="110">
        <v>30.84</v>
      </c>
      <c r="J223" s="113" t="s">
        <v>612</v>
      </c>
      <c r="K223" s="114">
        <v>44525</v>
      </c>
      <c r="L223" s="113" t="s">
        <v>48</v>
      </c>
      <c r="M223" s="115">
        <v>45985</v>
      </c>
    </row>
    <row r="224" spans="2:13" x14ac:dyDescent="0.35">
      <c r="B224" s="112" t="s">
        <v>999</v>
      </c>
      <c r="C224" s="113" t="s">
        <v>659</v>
      </c>
      <c r="D224" s="113" t="s">
        <v>1003</v>
      </c>
      <c r="E224" s="113" t="s">
        <v>1317</v>
      </c>
      <c r="F224" s="113" t="s">
        <v>680</v>
      </c>
      <c r="G224" s="113" t="s">
        <v>1318</v>
      </c>
      <c r="H224" s="114">
        <v>34973</v>
      </c>
      <c r="I224" s="110">
        <v>29.25</v>
      </c>
      <c r="J224" s="113" t="s">
        <v>612</v>
      </c>
      <c r="K224" s="114">
        <v>44525</v>
      </c>
      <c r="L224" s="113" t="s">
        <v>48</v>
      </c>
      <c r="M224" s="115">
        <v>45985</v>
      </c>
    </row>
    <row r="225" spans="2:13" x14ac:dyDescent="0.35">
      <c r="B225" s="112" t="s">
        <v>999</v>
      </c>
      <c r="C225" s="113" t="s">
        <v>622</v>
      </c>
      <c r="D225" s="113" t="s">
        <v>1000</v>
      </c>
      <c r="E225" s="113" t="s">
        <v>1319</v>
      </c>
      <c r="F225" s="113" t="s">
        <v>792</v>
      </c>
      <c r="G225" s="113" t="s">
        <v>1320</v>
      </c>
      <c r="H225" s="114">
        <v>34859</v>
      </c>
      <c r="I225" s="110">
        <v>29.560000000000002</v>
      </c>
      <c r="J225" s="113" t="s">
        <v>612</v>
      </c>
      <c r="K225" s="114">
        <v>44526</v>
      </c>
      <c r="L225" s="113" t="s">
        <v>48</v>
      </c>
      <c r="M225" s="115">
        <v>45986</v>
      </c>
    </row>
    <row r="226" spans="2:13" x14ac:dyDescent="0.35">
      <c r="B226" s="112" t="s">
        <v>999</v>
      </c>
      <c r="C226" s="113" t="s">
        <v>622</v>
      </c>
      <c r="D226" s="113" t="s">
        <v>1000</v>
      </c>
      <c r="E226" s="113" t="s">
        <v>1321</v>
      </c>
      <c r="F226" s="113" t="s">
        <v>752</v>
      </c>
      <c r="G226" s="113" t="s">
        <v>1322</v>
      </c>
      <c r="H226" s="114">
        <v>34266</v>
      </c>
      <c r="I226" s="110">
        <v>31.18</v>
      </c>
      <c r="J226" s="113" t="s">
        <v>612</v>
      </c>
      <c r="K226" s="114">
        <v>44531</v>
      </c>
      <c r="L226" s="113" t="s">
        <v>48</v>
      </c>
      <c r="M226" s="115">
        <v>45991</v>
      </c>
    </row>
    <row r="227" spans="2:13" x14ac:dyDescent="0.35">
      <c r="B227" s="112" t="s">
        <v>999</v>
      </c>
      <c r="C227" s="113" t="s">
        <v>622</v>
      </c>
      <c r="D227" s="113" t="s">
        <v>1000</v>
      </c>
      <c r="E227" s="113" t="s">
        <v>1323</v>
      </c>
      <c r="F227" s="113" t="s">
        <v>742</v>
      </c>
      <c r="G227" s="113" t="s">
        <v>847</v>
      </c>
      <c r="H227" s="114">
        <v>34497</v>
      </c>
      <c r="I227" s="110">
        <v>30.55</v>
      </c>
      <c r="J227" s="113" t="s">
        <v>612</v>
      </c>
      <c r="K227" s="114">
        <v>44532</v>
      </c>
      <c r="L227" s="113" t="s">
        <v>48</v>
      </c>
      <c r="M227" s="115">
        <v>45992</v>
      </c>
    </row>
    <row r="228" spans="2:13" x14ac:dyDescent="0.35">
      <c r="B228" s="116" t="s">
        <v>1008</v>
      </c>
      <c r="C228" s="117" t="s">
        <v>630</v>
      </c>
      <c r="D228" s="117" t="s">
        <v>1017</v>
      </c>
      <c r="E228" s="117" t="s">
        <v>987</v>
      </c>
      <c r="F228" s="117" t="s">
        <v>633</v>
      </c>
      <c r="G228" s="117" t="s">
        <v>988</v>
      </c>
      <c r="H228" s="118">
        <v>24654</v>
      </c>
      <c r="I228" s="111">
        <v>57.52</v>
      </c>
      <c r="J228" s="117" t="s">
        <v>612</v>
      </c>
      <c r="K228" s="118">
        <v>45635</v>
      </c>
      <c r="L228" s="117" t="s">
        <v>48</v>
      </c>
      <c r="M228" s="119">
        <v>46000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opLeftCell="B5" workbookViewId="0">
      <selection activeCell="E6" sqref="E6"/>
    </sheetView>
  </sheetViews>
  <sheetFormatPr defaultColWidth="10.7265625" defaultRowHeight="14.5" x14ac:dyDescent="0.35"/>
  <cols>
    <col min="1" max="1" width="192.7265625" customWidth="1"/>
    <col min="5" max="5" width="51.81640625" customWidth="1"/>
  </cols>
  <sheetData>
    <row r="1" spans="1:5" ht="403.5" customHeight="1" x14ac:dyDescent="0.35">
      <c r="A1" s="31" t="e" vm="1">
        <v>#VALUE!</v>
      </c>
    </row>
    <row r="3" spans="1:5" ht="15" thickBot="1" x14ac:dyDescent="0.4"/>
    <row r="4" spans="1:5" ht="34" thickBot="1" x14ac:dyDescent="0.4">
      <c r="E4" s="1">
        <v>46022</v>
      </c>
    </row>
    <row r="5" spans="1:5" ht="73" customHeight="1" thickBot="1" x14ac:dyDescent="0.4">
      <c r="E5" s="1">
        <v>46387</v>
      </c>
    </row>
    <row r="8" spans="1:5" x14ac:dyDescent="0.35">
      <c r="E8" s="5" t="s">
        <v>314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Conduite</vt:lpstr>
      <vt:lpstr>Formation</vt:lpstr>
      <vt:lpstr>CGPx Conduite</vt:lpstr>
      <vt:lpstr>Listing  VM</vt:lpstr>
      <vt:lpstr>Listing  Psy</vt:lpstr>
      <vt:lpstr>RG_DRH_S1_008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ANEKNAF RACHID</dc:creator>
  <cp:keywords/>
  <dc:description/>
  <cp:lastModifiedBy>Mostafa BOUGNINE</cp:lastModifiedBy>
  <cp:revision/>
  <cp:lastPrinted>2026-01-05T07:45:21Z</cp:lastPrinted>
  <dcterms:created xsi:type="dcterms:W3CDTF">2024-10-17T09:58:45Z</dcterms:created>
  <dcterms:modified xsi:type="dcterms:W3CDTF">2026-09-06T01:34:26Z</dcterms:modified>
  <cp:category/>
  <cp:contentStatus/>
</cp:coreProperties>
</file>